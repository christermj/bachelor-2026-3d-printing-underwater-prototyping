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isn.sharepoint.com/sites/Testingav3D-printedeplastdelerforundervannsbruk/Shared Documents/General/Vedlegg/"/>
    </mc:Choice>
  </mc:AlternateContent>
  <xr:revisionPtr revIDLastSave="905" documentId="13_ncr:1_{1AFFDDAB-BCEF-4709-BC33-C31F2956F117}" xr6:coauthVersionLast="47" xr6:coauthVersionMax="47" xr10:uidLastSave="{AC672939-8A33-44E8-9897-EEFFFEA2A947}"/>
  <bookViews>
    <workbookView minimized="1" xWindow="1044" yWindow="1044" windowWidth="2388" windowHeight="564" xr2:uid="{C8EF0714-1D42-42BF-B1F4-F066DEC78BFB}"/>
  </bookViews>
  <sheets>
    <sheet name="Overflatebehandli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6" i="1" l="1"/>
  <c r="S24" i="1"/>
  <c r="S25" i="1"/>
  <c r="S27" i="1"/>
  <c r="S28" i="1"/>
  <c r="S23" i="1"/>
  <c r="S15" i="1"/>
  <c r="S16" i="1"/>
  <c r="S17" i="1"/>
  <c r="S18" i="1"/>
  <c r="S19" i="1"/>
  <c r="S14" i="1"/>
  <c r="S6" i="1"/>
  <c r="S7" i="1"/>
  <c r="S8" i="1"/>
  <c r="S9" i="1"/>
  <c r="S10" i="1"/>
  <c r="S5" i="1"/>
  <c r="R28" i="1"/>
  <c r="R27" i="1"/>
  <c r="R26" i="1"/>
  <c r="R25" i="1"/>
  <c r="R24" i="1"/>
  <c r="R23" i="1"/>
  <c r="R19" i="1"/>
  <c r="R18" i="1"/>
  <c r="R17" i="1"/>
  <c r="R16" i="1"/>
  <c r="R15" i="1"/>
  <c r="R14" i="1"/>
  <c r="R9" i="1"/>
  <c r="R10" i="1"/>
  <c r="R8" i="1"/>
  <c r="R7" i="1"/>
  <c r="R6" i="1"/>
  <c r="R5" i="1"/>
  <c r="Q28" i="1"/>
  <c r="Q27" i="1"/>
  <c r="Q26" i="1"/>
  <c r="Q25" i="1"/>
  <c r="Q24" i="1"/>
  <c r="Q23" i="1"/>
  <c r="Q19" i="1"/>
  <c r="Q18" i="1"/>
  <c r="Q17" i="1"/>
  <c r="Q16" i="1"/>
  <c r="Q15" i="1"/>
  <c r="Q14" i="1"/>
  <c r="Q10" i="1"/>
  <c r="Q9" i="1"/>
  <c r="Q8" i="1"/>
  <c r="Q7" i="1"/>
  <c r="Q6" i="1"/>
  <c r="Q5" i="1"/>
</calcChain>
</file>

<file path=xl/sharedStrings.xml><?xml version="1.0" encoding="utf-8"?>
<sst xmlns="http://schemas.openxmlformats.org/spreadsheetml/2006/main" count="257" uniqueCount="43">
  <si>
    <t xml:space="preserve">Tørket </t>
  </si>
  <si>
    <t>PLA</t>
  </si>
  <si>
    <t>Nei</t>
  </si>
  <si>
    <t>PETG</t>
  </si>
  <si>
    <t xml:space="preserve">Nei </t>
  </si>
  <si>
    <t>ASA</t>
  </si>
  <si>
    <t>Ja</t>
  </si>
  <si>
    <t xml:space="preserve">Vekt 1t: </t>
  </si>
  <si>
    <t xml:space="preserve">Startvekt: </t>
  </si>
  <si>
    <t xml:space="preserve">Vekt 2t: </t>
  </si>
  <si>
    <t xml:space="preserve">Vekt 3t: </t>
  </si>
  <si>
    <t xml:space="preserve">Vekt 24t: </t>
  </si>
  <si>
    <t xml:space="preserve">Startvekt </t>
  </si>
  <si>
    <t>Ubehandlet</t>
  </si>
  <si>
    <t xml:space="preserve">24t: </t>
  </si>
  <si>
    <t>1 uke:</t>
  </si>
  <si>
    <t xml:space="preserve">Jotun Vinyl primer </t>
  </si>
  <si>
    <t xml:space="preserve">Vekt 1 uke: </t>
  </si>
  <si>
    <t xml:space="preserve">Plasttype: </t>
  </si>
  <si>
    <t>Plasttype:</t>
  </si>
  <si>
    <t xml:space="preserve">Materiale </t>
  </si>
  <si>
    <t>Materiale:</t>
  </si>
  <si>
    <t xml:space="preserve">Materiale: </t>
  </si>
  <si>
    <t>Metode:</t>
  </si>
  <si>
    <t>Tørket:</t>
  </si>
  <si>
    <t xml:space="preserve">Prøve: </t>
  </si>
  <si>
    <t>Prøve:</t>
  </si>
  <si>
    <t xml:space="preserve">Tørket: </t>
  </si>
  <si>
    <t xml:space="preserve">Metode: </t>
  </si>
  <si>
    <t>Bengalack</t>
  </si>
  <si>
    <t>2-komponent epoxy</t>
  </si>
  <si>
    <t xml:space="preserve">Behandling </t>
  </si>
  <si>
    <t>Gjennomsnittlig vekt etter 1 uke (g)</t>
  </si>
  <si>
    <t>Gjennomsnittlig startvekt (g)</t>
  </si>
  <si>
    <t>Jotun Vinyl Primer</t>
  </si>
  <si>
    <t xml:space="preserve">PLA </t>
  </si>
  <si>
    <t xml:space="preserve">Ubehandlet </t>
  </si>
  <si>
    <t xml:space="preserve">Masseøkning etter 1 uke (%) </t>
  </si>
  <si>
    <t>Masseøkning  etter 1 uke (%)</t>
  </si>
  <si>
    <t xml:space="preserve">Bengalack (tørket) </t>
  </si>
  <si>
    <t>Bengalack (ikke tørket)</t>
  </si>
  <si>
    <t xml:space="preserve">To-komponent epoxy (tørket) </t>
  </si>
  <si>
    <t xml:space="preserve">To-komponent epoxy (ikke tørket)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</si>
</sst>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Aptos Narrow"/>
      <family val="2"/>
      <scheme val="minor"/>
    </font>
    <font>
      <sz val="11"/>
      <color theme="2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2"/>
      </left>
      <right/>
      <top style="thin">
        <color theme="2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5" xfId="0" applyBorder="1"/>
    <xf numFmtId="0" fontId="2" fillId="0" borderId="6" xfId="0" applyFont="1" applyBorder="1"/>
    <xf numFmtId="2" fontId="0" fillId="0" borderId="1" xfId="0" applyNumberFormat="1" applyBorder="1"/>
    <xf numFmtId="2" fontId="0" fillId="0" borderId="4" xfId="0" applyNumberFormat="1" applyBorder="1"/>
    <xf numFmtId="2" fontId="0" fillId="0" borderId="7" xfId="0" applyNumberFormat="1" applyBorder="1"/>
    <xf numFmtId="2" fontId="0" fillId="0" borderId="9" xfId="0" applyNumberFormat="1" applyBorder="1"/>
    <xf numFmtId="2" fontId="2" fillId="3" borderId="7" xfId="0" applyNumberFormat="1" applyFont="1" applyFill="1" applyBorder="1"/>
    <xf numFmtId="2" fontId="0" fillId="0" borderId="10" xfId="0" applyNumberFormat="1" applyBorder="1"/>
    <xf numFmtId="0" fontId="0" fillId="0" borderId="0" xfId="0" applyAlignment="1">
      <alignment horizontal="center"/>
    </xf>
    <xf numFmtId="2" fontId="0" fillId="0" borderId="0" xfId="0" applyNumberFormat="1"/>
    <xf numFmtId="164" fontId="0" fillId="0" borderId="0" xfId="0" applyNumberFormat="1"/>
    <xf numFmtId="0" fontId="1" fillId="3" borderId="11" xfId="0" applyFont="1" applyFill="1" applyBorder="1"/>
    <xf numFmtId="0" fontId="1" fillId="0" borderId="12" xfId="0" applyFont="1" applyBorder="1"/>
    <xf numFmtId="0" fontId="3" fillId="2" borderId="1" xfId="0" applyFont="1" applyFill="1" applyBorder="1"/>
    <xf numFmtId="0" fontId="4" fillId="2" borderId="1" xfId="0" applyFont="1" applyFill="1" applyBorder="1"/>
    <xf numFmtId="0" fontId="4" fillId="2" borderId="9" xfId="0" applyFont="1" applyFill="1" applyBorder="1"/>
    <xf numFmtId="0" fontId="4" fillId="2" borderId="7" xfId="0" applyFont="1" applyFill="1" applyBorder="1"/>
    <xf numFmtId="0" fontId="3" fillId="2" borderId="4" xfId="0" applyFont="1" applyFill="1" applyBorder="1"/>
    <xf numFmtId="0" fontId="3" fillId="2" borderId="7" xfId="0" applyFont="1" applyFill="1" applyBorder="1"/>
    <xf numFmtId="0" fontId="0" fillId="0" borderId="1" xfId="0" applyBorder="1" applyAlignment="1">
      <alignment wrapText="1"/>
    </xf>
    <xf numFmtId="0" fontId="0" fillId="2" borderId="1" xfId="0" applyFill="1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PLA</a:t>
            </a:r>
            <a:r>
              <a:rPr lang="nb-NO" baseline="0"/>
              <a:t> </a:t>
            </a:r>
            <a:endParaRPr lang="nb-N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b-N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Overflatebehandlig!$O$5:$O$10</c:f>
              <c:strCache>
                <c:ptCount val="6"/>
                <c:pt idx="0">
                  <c:v>Bengalack (ikke tørket)</c:v>
                </c:pt>
                <c:pt idx="1">
                  <c:v>Bengalack (tørket) </c:v>
                </c:pt>
                <c:pt idx="2">
                  <c:v>To-komponent epoxy (ikke tørket) </c:v>
                </c:pt>
                <c:pt idx="3">
                  <c:v>To-komponent epoxy (tørket) </c:v>
                </c:pt>
                <c:pt idx="4">
                  <c:v>Jotun Vinyl Primer</c:v>
                </c:pt>
                <c:pt idx="5">
                  <c:v>Ubehandlet </c:v>
                </c:pt>
              </c:strCache>
            </c:strRef>
          </c:cat>
          <c:val>
            <c:numRef>
              <c:f>Overflatebehandlig!$S$5:$S$10</c:f>
              <c:numCache>
                <c:formatCode>0.00</c:formatCode>
                <c:ptCount val="6"/>
                <c:pt idx="0">
                  <c:v>0.36083714216983059</c:v>
                </c:pt>
                <c:pt idx="1">
                  <c:v>0.31378228336954517</c:v>
                </c:pt>
                <c:pt idx="2">
                  <c:v>0.65315315315315126</c:v>
                </c:pt>
                <c:pt idx="3">
                  <c:v>0.71650346310006485</c:v>
                </c:pt>
                <c:pt idx="4">
                  <c:v>6.5331010452964147E-2</c:v>
                </c:pt>
                <c:pt idx="5">
                  <c:v>3.2212221695878713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8A-4AAF-BF36-C686E70DB7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5154128"/>
        <c:axId val="789310488"/>
      </c:barChart>
      <c:catAx>
        <c:axId val="7351541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Overflatebehandlinger</a:t>
                </a:r>
                <a:r>
                  <a:rPr lang="nb-NO" baseline="0"/>
                  <a:t> </a:t>
                </a:r>
                <a:endParaRPr lang="nb-N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789310488"/>
        <c:crosses val="autoZero"/>
        <c:auto val="1"/>
        <c:lblAlgn val="ctr"/>
        <c:lblOffset val="100"/>
        <c:noMultiLvlLbl val="0"/>
      </c:catAx>
      <c:valAx>
        <c:axId val="789310488"/>
        <c:scaling>
          <c:orientation val="minMax"/>
          <c:max val="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Masseøkning</a:t>
                </a:r>
                <a:r>
                  <a:rPr lang="nb-NO" baseline="0"/>
                  <a:t> etter 1 uke (%)</a:t>
                </a:r>
                <a:endParaRPr lang="nb-N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735154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PETG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b-N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Overflatebehandlig!$O$14:$O$19</c:f>
              <c:strCache>
                <c:ptCount val="6"/>
                <c:pt idx="0">
                  <c:v>Bengalack (ikke tørket)</c:v>
                </c:pt>
                <c:pt idx="1">
                  <c:v>Bengalack (tørket) </c:v>
                </c:pt>
                <c:pt idx="2">
                  <c:v>To-komponent epoxy (ikke tørket) </c:v>
                </c:pt>
                <c:pt idx="3">
                  <c:v>To-komponent epoxy (tørket) </c:v>
                </c:pt>
                <c:pt idx="4">
                  <c:v>Jotun Vinyl Primer</c:v>
                </c:pt>
                <c:pt idx="5">
                  <c:v>Ubehandlet </c:v>
                </c:pt>
              </c:strCache>
            </c:strRef>
          </c:cat>
          <c:val>
            <c:numRef>
              <c:f>Overflatebehandlig!$S$14:$S$19</c:f>
              <c:numCache>
                <c:formatCode>0.00</c:formatCode>
                <c:ptCount val="6"/>
                <c:pt idx="0">
                  <c:v>12.707722385141745</c:v>
                </c:pt>
                <c:pt idx="1">
                  <c:v>0.27053615346778026</c:v>
                </c:pt>
                <c:pt idx="2">
                  <c:v>0.55645722235105288</c:v>
                </c:pt>
                <c:pt idx="3">
                  <c:v>0.46285018270401396</c:v>
                </c:pt>
                <c:pt idx="4">
                  <c:v>0</c:v>
                </c:pt>
                <c:pt idx="5">
                  <c:v>63.756801514076187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FD-4492-A3DB-7943859183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7701864"/>
        <c:axId val="128095984"/>
      </c:barChart>
      <c:catAx>
        <c:axId val="8577018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Overflatebehandlinger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28095984"/>
        <c:crosses val="autoZero"/>
        <c:auto val="1"/>
        <c:lblAlgn val="ctr"/>
        <c:lblOffset val="100"/>
        <c:noMultiLvlLbl val="0"/>
      </c:catAx>
      <c:valAx>
        <c:axId val="128095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Masseøkning etter 1 uke (%)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defRPr>
                </a:pPr>
                <a:endParaRPr lang="nb-N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857701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ASA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b-N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Overflatebehandlig!$O$23:$O$28</c:f>
              <c:strCache>
                <c:ptCount val="6"/>
                <c:pt idx="0">
                  <c:v>Bengalack (ikke tørket)</c:v>
                </c:pt>
                <c:pt idx="1">
                  <c:v>Bengalack (tørket) </c:v>
                </c:pt>
                <c:pt idx="2">
                  <c:v>To-komponent epoxy (ikke tørket) </c:v>
                </c:pt>
                <c:pt idx="3">
                  <c:v>To-komponent epoxy (tørket) </c:v>
                </c:pt>
                <c:pt idx="4">
                  <c:v>Jotun Vinyl Primer</c:v>
                </c:pt>
                <c:pt idx="5">
                  <c:v>Ubehandlet </c:v>
                </c:pt>
              </c:strCache>
            </c:strRef>
          </c:cat>
          <c:val>
            <c:numRef>
              <c:f>Overflatebehandlig!$S$23:$S$28</c:f>
              <c:numCache>
                <c:formatCode>0.00</c:formatCode>
                <c:ptCount val="6"/>
                <c:pt idx="0">
                  <c:v>0.95344924284914045</c:v>
                </c:pt>
                <c:pt idx="1">
                  <c:v>0.53748231966053106</c:v>
                </c:pt>
                <c:pt idx="2">
                  <c:v>0.92129507765201735</c:v>
                </c:pt>
                <c:pt idx="3">
                  <c:v>0.77951002227171806</c:v>
                </c:pt>
                <c:pt idx="4">
                  <c:v>0</c:v>
                </c:pt>
                <c:pt idx="5">
                  <c:v>58.623668298301169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60-46C3-B487-5094BBA000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0381336"/>
        <c:axId val="740381696"/>
      </c:barChart>
      <c:catAx>
        <c:axId val="7403813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Overflatebehandlinger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740381696"/>
        <c:crosses val="autoZero"/>
        <c:auto val="1"/>
        <c:lblAlgn val="ctr"/>
        <c:lblOffset val="100"/>
        <c:noMultiLvlLbl val="0"/>
      </c:catAx>
      <c:valAx>
        <c:axId val="740381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Masseøkning etter 1 uke (%)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defRPr>
                </a:pPr>
                <a:endParaRPr lang="nb-N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740381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638175</xdr:colOff>
      <xdr:row>2</xdr:row>
      <xdr:rowOff>4762</xdr:rowOff>
    </xdr:from>
    <xdr:to>
      <xdr:col>26</xdr:col>
      <xdr:colOff>523875</xdr:colOff>
      <xdr:row>13</xdr:row>
      <xdr:rowOff>104774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AB4245E-F39F-51CD-F136-64B659A13A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628649</xdr:colOff>
      <xdr:row>14</xdr:row>
      <xdr:rowOff>4762</xdr:rowOff>
    </xdr:from>
    <xdr:to>
      <xdr:col>26</xdr:col>
      <xdr:colOff>581024</xdr:colOff>
      <xdr:row>24</xdr:row>
      <xdr:rowOff>142874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6B01A63C-8E54-99BF-2143-3DD52C32B4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628650</xdr:colOff>
      <xdr:row>24</xdr:row>
      <xdr:rowOff>261937</xdr:rowOff>
    </xdr:from>
    <xdr:to>
      <xdr:col>26</xdr:col>
      <xdr:colOff>647700</xdr:colOff>
      <xdr:row>34</xdr:row>
      <xdr:rowOff>361949</xdr:rowOff>
    </xdr:to>
    <xdr:graphicFrame macro="">
      <xdr:nvGraphicFramePr>
        <xdr:cNvPr id="5" name="Diagram 4">
          <a:extLst>
            <a:ext uri="{FF2B5EF4-FFF2-40B4-BE49-F238E27FC236}">
              <a16:creationId xmlns:a16="http://schemas.microsoft.com/office/drawing/2014/main" id="{298F7452-1690-B785-F388-5FD33C62F7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21B1C-8B4E-409F-A99B-50101410D0B5}">
  <dimension ref="B1:S55"/>
  <sheetViews>
    <sheetView tabSelected="1" topLeftCell="L13" zoomScale="80" zoomScaleNormal="80" workbookViewId="0">
      <selection activeCell="T14" sqref="T14"/>
    </sheetView>
  </sheetViews>
  <sheetFormatPr baseColWidth="10" defaultColWidth="10.77734375" defaultRowHeight="14.4" x14ac:dyDescent="0.3"/>
  <cols>
    <col min="1" max="1" width="15.77734375" customWidth="1"/>
    <col min="3" max="3" width="15.5546875" customWidth="1"/>
    <col min="5" max="5" width="15.88671875" customWidth="1"/>
    <col min="6" max="6" width="17" customWidth="1"/>
    <col min="7" max="7" width="19.88671875" customWidth="1"/>
    <col min="12" max="12" width="12.33203125" customWidth="1"/>
    <col min="13" max="13" width="12.21875" customWidth="1"/>
    <col min="14" max="14" width="11.109375" customWidth="1"/>
    <col min="15" max="15" width="22.6640625" customWidth="1"/>
    <col min="16" max="16" width="7.44140625" customWidth="1"/>
    <col min="17" max="17" width="15.77734375" customWidth="1"/>
    <col min="18" max="18" width="18.44140625" customWidth="1"/>
    <col min="19" max="19" width="14.5546875" customWidth="1"/>
  </cols>
  <sheetData>
    <row r="1" spans="2:19" x14ac:dyDescent="0.3">
      <c r="R1" s="4"/>
    </row>
    <row r="2" spans="2:19" x14ac:dyDescent="0.3">
      <c r="O2" s="14"/>
      <c r="P2" s="3"/>
    </row>
    <row r="3" spans="2:19" x14ac:dyDescent="0.3">
      <c r="O3" s="15"/>
    </row>
    <row r="4" spans="2:19" ht="28.8" x14ac:dyDescent="0.3">
      <c r="B4" s="16" t="s">
        <v>22</v>
      </c>
      <c r="C4" s="16" t="s">
        <v>23</v>
      </c>
      <c r="D4" s="16" t="s">
        <v>24</v>
      </c>
      <c r="E4" s="16" t="s">
        <v>25</v>
      </c>
      <c r="F4" s="16" t="s">
        <v>8</v>
      </c>
      <c r="G4" s="16" t="s">
        <v>7</v>
      </c>
      <c r="H4" s="16" t="s">
        <v>9</v>
      </c>
      <c r="I4" s="16" t="s">
        <v>10</v>
      </c>
      <c r="J4" s="16" t="s">
        <v>11</v>
      </c>
      <c r="K4" s="16" t="s">
        <v>17</v>
      </c>
      <c r="L4" s="16" t="s">
        <v>19</v>
      </c>
      <c r="N4" s="2" t="s">
        <v>20</v>
      </c>
      <c r="O4" s="2" t="s">
        <v>31</v>
      </c>
      <c r="P4" s="2" t="s">
        <v>0</v>
      </c>
      <c r="Q4" s="23" t="s">
        <v>33</v>
      </c>
      <c r="R4" s="23" t="s">
        <v>32</v>
      </c>
      <c r="S4" s="23" t="s">
        <v>38</v>
      </c>
    </row>
    <row r="5" spans="2:19" x14ac:dyDescent="0.3">
      <c r="B5" s="1" t="s">
        <v>1</v>
      </c>
      <c r="C5" s="1" t="s">
        <v>29</v>
      </c>
      <c r="D5" s="1" t="s">
        <v>2</v>
      </c>
      <c r="E5" s="1">
        <v>1</v>
      </c>
      <c r="F5" s="5">
        <v>20.78</v>
      </c>
      <c r="G5" s="5">
        <v>20.78</v>
      </c>
      <c r="H5" s="5">
        <v>20.8</v>
      </c>
      <c r="I5" s="5">
        <v>20.8</v>
      </c>
      <c r="J5" s="5">
        <v>20.84</v>
      </c>
      <c r="K5" s="5">
        <v>20.84</v>
      </c>
      <c r="L5" s="28" t="s">
        <v>1</v>
      </c>
      <c r="N5" s="1" t="s">
        <v>1</v>
      </c>
      <c r="O5" s="22" t="s">
        <v>40</v>
      </c>
      <c r="P5" s="1" t="s">
        <v>4</v>
      </c>
      <c r="Q5" s="5">
        <f>(F5+F6)/2</f>
        <v>20.785</v>
      </c>
      <c r="R5" s="5">
        <f>(K5+K6)/2</f>
        <v>20.86</v>
      </c>
      <c r="S5" s="5">
        <f>((R5-Q5)/Q5)*100</f>
        <v>0.36083714216983059</v>
      </c>
    </row>
    <row r="6" spans="2:19" x14ac:dyDescent="0.3">
      <c r="B6" s="1" t="s">
        <v>1</v>
      </c>
      <c r="C6" s="1" t="s">
        <v>29</v>
      </c>
      <c r="D6" s="1" t="s">
        <v>2</v>
      </c>
      <c r="E6" s="1">
        <v>2</v>
      </c>
      <c r="F6" s="5">
        <v>20.79</v>
      </c>
      <c r="G6" s="5">
        <v>20.79</v>
      </c>
      <c r="H6" s="5">
        <v>20.81</v>
      </c>
      <c r="I6" s="5">
        <v>20.81</v>
      </c>
      <c r="J6" s="5">
        <v>20.87</v>
      </c>
      <c r="K6" s="5">
        <v>20.88</v>
      </c>
      <c r="L6" s="27"/>
      <c r="N6" s="1" t="s">
        <v>1</v>
      </c>
      <c r="O6" s="22" t="s">
        <v>39</v>
      </c>
      <c r="P6" s="1" t="s">
        <v>6</v>
      </c>
      <c r="Q6" s="5">
        <f>(F14+F15)/2</f>
        <v>20.715</v>
      </c>
      <c r="R6" s="5">
        <f>(K14+K15)/2</f>
        <v>20.78</v>
      </c>
      <c r="S6" s="5">
        <f t="shared" ref="S6:S10" si="0">((R6-Q6)/Q6)*100</f>
        <v>0.31378228336954517</v>
      </c>
    </row>
    <row r="7" spans="2:19" ht="28.8" x14ac:dyDescent="0.3">
      <c r="B7" s="1" t="s">
        <v>3</v>
      </c>
      <c r="C7" s="1" t="s">
        <v>29</v>
      </c>
      <c r="D7" s="1" t="s">
        <v>2</v>
      </c>
      <c r="E7" s="1">
        <v>1</v>
      </c>
      <c r="F7" s="5">
        <v>20.47</v>
      </c>
      <c r="G7" s="5">
        <v>20.48</v>
      </c>
      <c r="H7" s="5">
        <v>20.47</v>
      </c>
      <c r="I7" s="5">
        <v>20.49</v>
      </c>
      <c r="J7" s="5">
        <v>20.95</v>
      </c>
      <c r="K7" s="5">
        <v>25.6</v>
      </c>
      <c r="L7" s="28" t="s">
        <v>3</v>
      </c>
      <c r="N7" s="1" t="s">
        <v>1</v>
      </c>
      <c r="O7" s="22" t="s">
        <v>42</v>
      </c>
      <c r="P7" s="1" t="s">
        <v>4</v>
      </c>
      <c r="Q7" s="5">
        <f>(F23+F24)/2</f>
        <v>22.2</v>
      </c>
      <c r="R7" s="5">
        <f>(K23+K24)/2</f>
        <v>22.344999999999999</v>
      </c>
      <c r="S7" s="5">
        <f t="shared" si="0"/>
        <v>0.65315315315315126</v>
      </c>
    </row>
    <row r="8" spans="2:19" ht="28.8" x14ac:dyDescent="0.3">
      <c r="B8" s="1" t="s">
        <v>3</v>
      </c>
      <c r="C8" s="1" t="s">
        <v>29</v>
      </c>
      <c r="D8" s="1" t="s">
        <v>4</v>
      </c>
      <c r="E8" s="1">
        <v>2</v>
      </c>
      <c r="F8" s="5">
        <v>20.45</v>
      </c>
      <c r="G8" s="5">
        <v>20.45</v>
      </c>
      <c r="H8" s="5">
        <v>20.46</v>
      </c>
      <c r="I8" s="5">
        <v>20.45</v>
      </c>
      <c r="J8" s="5">
        <v>20.47</v>
      </c>
      <c r="K8" s="5">
        <v>20.52</v>
      </c>
      <c r="L8" s="27"/>
      <c r="N8" s="1" t="s">
        <v>1</v>
      </c>
      <c r="O8" s="22" t="s">
        <v>41</v>
      </c>
      <c r="P8" s="1" t="s">
        <v>6</v>
      </c>
      <c r="Q8" s="5">
        <f>(F32+F33)/2</f>
        <v>20.935000000000002</v>
      </c>
      <c r="R8" s="5">
        <f>(K32+K33)/2</f>
        <v>21.085000000000001</v>
      </c>
      <c r="S8" s="5">
        <f t="shared" si="0"/>
        <v>0.71650346310006485</v>
      </c>
    </row>
    <row r="9" spans="2:19" x14ac:dyDescent="0.3">
      <c r="B9" s="1" t="s">
        <v>5</v>
      </c>
      <c r="C9" s="1" t="s">
        <v>29</v>
      </c>
      <c r="D9" s="1" t="s">
        <v>2</v>
      </c>
      <c r="E9" s="1">
        <v>1</v>
      </c>
      <c r="F9" s="5">
        <v>17.850000000000001</v>
      </c>
      <c r="G9" s="5">
        <v>17.850000000000001</v>
      </c>
      <c r="H9" s="5">
        <v>17.899999999999999</v>
      </c>
      <c r="I9" s="5">
        <v>17.899999999999999</v>
      </c>
      <c r="J9" s="5">
        <v>17.920000000000002</v>
      </c>
      <c r="K9" s="5">
        <v>17.98</v>
      </c>
      <c r="L9" s="28" t="s">
        <v>5</v>
      </c>
      <c r="M9" s="11"/>
      <c r="N9" s="1" t="s">
        <v>1</v>
      </c>
      <c r="O9" s="22" t="s">
        <v>34</v>
      </c>
      <c r="P9" s="1" t="s">
        <v>4</v>
      </c>
      <c r="Q9" s="5">
        <f>(F41+F42)/2</f>
        <v>22.96</v>
      </c>
      <c r="R9" s="5">
        <f>(K41+K42)/2</f>
        <v>22.975000000000001</v>
      </c>
      <c r="S9" s="5">
        <f t="shared" si="0"/>
        <v>6.5331010452964147E-2</v>
      </c>
    </row>
    <row r="10" spans="2:19" x14ac:dyDescent="0.3">
      <c r="B10" s="1" t="s">
        <v>5</v>
      </c>
      <c r="C10" s="1" t="s">
        <v>29</v>
      </c>
      <c r="D10" s="1" t="s">
        <v>2</v>
      </c>
      <c r="E10" s="1">
        <v>2</v>
      </c>
      <c r="F10" s="5">
        <v>17.809999999999999</v>
      </c>
      <c r="G10" s="5">
        <v>17.809999999999999</v>
      </c>
      <c r="H10" s="5">
        <v>17.87</v>
      </c>
      <c r="I10" s="5">
        <v>17.850000000000001</v>
      </c>
      <c r="J10" s="5">
        <v>17.89</v>
      </c>
      <c r="K10" s="5">
        <v>18.02</v>
      </c>
      <c r="L10" s="27"/>
      <c r="M10" s="11"/>
      <c r="N10" s="1" t="s">
        <v>35</v>
      </c>
      <c r="O10" s="22" t="s">
        <v>36</v>
      </c>
      <c r="P10" s="1" t="s">
        <v>4</v>
      </c>
      <c r="Q10" s="5">
        <f>(E50+E51)/2</f>
        <v>21.11</v>
      </c>
      <c r="R10" s="5">
        <f>(J50+J51)/2</f>
        <v>21.79</v>
      </c>
      <c r="S10" s="5">
        <f t="shared" si="0"/>
        <v>3.2212221695878713</v>
      </c>
    </row>
    <row r="11" spans="2:19" x14ac:dyDescent="0.3">
      <c r="F11" s="12"/>
      <c r="G11" s="12"/>
      <c r="H11" s="12"/>
      <c r="I11" s="12"/>
      <c r="J11" s="12"/>
      <c r="K11" s="12"/>
      <c r="L11" s="13"/>
      <c r="M11" s="11"/>
    </row>
    <row r="12" spans="2:19" x14ac:dyDescent="0.3">
      <c r="F12" s="12"/>
      <c r="G12" s="12"/>
      <c r="H12" s="12"/>
      <c r="I12" s="12"/>
      <c r="J12" s="12"/>
      <c r="K12" s="12"/>
      <c r="L12" s="13"/>
      <c r="M12" s="11"/>
    </row>
    <row r="13" spans="2:19" ht="28.8" x14ac:dyDescent="0.3">
      <c r="B13" s="16" t="s">
        <v>22</v>
      </c>
      <c r="C13" s="16" t="s">
        <v>23</v>
      </c>
      <c r="D13" s="16" t="s">
        <v>24</v>
      </c>
      <c r="E13" s="16" t="s">
        <v>26</v>
      </c>
      <c r="F13" s="17" t="s">
        <v>8</v>
      </c>
      <c r="G13" s="18" t="s">
        <v>7</v>
      </c>
      <c r="H13" s="19" t="s">
        <v>9</v>
      </c>
      <c r="I13" s="19" t="s">
        <v>10</v>
      </c>
      <c r="J13" s="19" t="s">
        <v>11</v>
      </c>
      <c r="K13" s="19" t="s">
        <v>17</v>
      </c>
      <c r="L13" s="16" t="s">
        <v>19</v>
      </c>
      <c r="N13" s="2" t="s">
        <v>20</v>
      </c>
      <c r="O13" s="2" t="s">
        <v>31</v>
      </c>
      <c r="P13" s="2" t="s">
        <v>0</v>
      </c>
      <c r="Q13" s="23" t="s">
        <v>33</v>
      </c>
      <c r="R13" s="23" t="s">
        <v>32</v>
      </c>
      <c r="S13" s="23" t="s">
        <v>37</v>
      </c>
    </row>
    <row r="14" spans="2:19" x14ac:dyDescent="0.3">
      <c r="B14" s="1" t="s">
        <v>1</v>
      </c>
      <c r="C14" s="1" t="s">
        <v>29</v>
      </c>
      <c r="D14" s="1" t="s">
        <v>6</v>
      </c>
      <c r="E14" s="1">
        <v>1</v>
      </c>
      <c r="F14" s="5">
        <v>20.74</v>
      </c>
      <c r="G14" s="8">
        <v>20.74</v>
      </c>
      <c r="H14" s="7">
        <v>20.75</v>
      </c>
      <c r="I14" s="7">
        <v>20.74</v>
      </c>
      <c r="J14" s="7">
        <v>20.77</v>
      </c>
      <c r="K14" s="9">
        <v>20.79</v>
      </c>
      <c r="L14" s="28" t="s">
        <v>1</v>
      </c>
      <c r="N14" s="1" t="s">
        <v>3</v>
      </c>
      <c r="O14" s="22" t="s">
        <v>40</v>
      </c>
      <c r="P14" s="1" t="s">
        <v>4</v>
      </c>
      <c r="Q14" s="5">
        <f>(F7+F8)/2</f>
        <v>20.46</v>
      </c>
      <c r="R14" s="5">
        <f>(K7+K8)/2</f>
        <v>23.060000000000002</v>
      </c>
      <c r="S14" s="5">
        <f>((R14-Q14)/Q14)*100</f>
        <v>12.707722385141745</v>
      </c>
    </row>
    <row r="15" spans="2:19" x14ac:dyDescent="0.3">
      <c r="B15" s="1" t="s">
        <v>1</v>
      </c>
      <c r="C15" s="1" t="s">
        <v>29</v>
      </c>
      <c r="D15" s="1" t="s">
        <v>6</v>
      </c>
      <c r="E15" s="1">
        <v>2</v>
      </c>
      <c r="F15" s="10">
        <v>20.69</v>
      </c>
      <c r="G15" s="7">
        <v>20.69</v>
      </c>
      <c r="H15" s="7">
        <v>20.7</v>
      </c>
      <c r="I15" s="7">
        <v>20.69</v>
      </c>
      <c r="J15" s="7">
        <v>20.71</v>
      </c>
      <c r="K15" s="9">
        <v>20.77</v>
      </c>
      <c r="L15" s="27"/>
      <c r="N15" s="1" t="s">
        <v>3</v>
      </c>
      <c r="O15" s="22" t="s">
        <v>39</v>
      </c>
      <c r="P15" s="1" t="s">
        <v>6</v>
      </c>
      <c r="Q15" s="5">
        <f>(F16+F17)/2</f>
        <v>20.329999999999998</v>
      </c>
      <c r="R15" s="5">
        <f>(K16+K17)/2</f>
        <v>20.384999999999998</v>
      </c>
      <c r="S15" s="5">
        <f t="shared" ref="S15:S19" si="1">((R15-Q15)/Q15)*100</f>
        <v>0.27053615346778026</v>
      </c>
    </row>
    <row r="16" spans="2:19" ht="28.8" x14ac:dyDescent="0.3">
      <c r="B16" s="1" t="s">
        <v>3</v>
      </c>
      <c r="C16" s="1" t="s">
        <v>29</v>
      </c>
      <c r="D16" s="1" t="s">
        <v>6</v>
      </c>
      <c r="E16" s="1">
        <v>1</v>
      </c>
      <c r="F16" s="7">
        <v>20.309999999999999</v>
      </c>
      <c r="G16" s="7">
        <v>20.309999999999999</v>
      </c>
      <c r="H16" s="7">
        <v>20.32</v>
      </c>
      <c r="I16" s="7">
        <v>20.309999999999999</v>
      </c>
      <c r="J16" s="7">
        <v>20.32</v>
      </c>
      <c r="K16" s="9">
        <v>20.38</v>
      </c>
      <c r="L16" s="29" t="s">
        <v>3</v>
      </c>
      <c r="N16" s="1" t="s">
        <v>3</v>
      </c>
      <c r="O16" s="22" t="s">
        <v>42</v>
      </c>
      <c r="P16" s="1" t="s">
        <v>4</v>
      </c>
      <c r="Q16" s="5">
        <f>(F25+F26)/2</f>
        <v>21.564999999999998</v>
      </c>
      <c r="R16" s="5">
        <f>(K25+K26)/2</f>
        <v>21.685000000000002</v>
      </c>
      <c r="S16" s="5">
        <f t="shared" si="1"/>
        <v>0.55645722235105288</v>
      </c>
    </row>
    <row r="17" spans="2:19" ht="28.8" x14ac:dyDescent="0.3">
      <c r="B17" s="1" t="s">
        <v>3</v>
      </c>
      <c r="C17" s="1" t="s">
        <v>29</v>
      </c>
      <c r="D17" s="1" t="s">
        <v>6</v>
      </c>
      <c r="E17" s="1">
        <v>2</v>
      </c>
      <c r="F17" s="7">
        <v>20.350000000000001</v>
      </c>
      <c r="G17" s="7">
        <v>20.350000000000001</v>
      </c>
      <c r="H17" s="7">
        <v>20.36</v>
      </c>
      <c r="I17" s="7">
        <v>20.329999999999998</v>
      </c>
      <c r="J17" s="7">
        <v>20.350000000000001</v>
      </c>
      <c r="K17" s="9">
        <v>20.39</v>
      </c>
      <c r="L17" s="30"/>
      <c r="N17" s="1" t="s">
        <v>3</v>
      </c>
      <c r="O17" s="22" t="s">
        <v>41</v>
      </c>
      <c r="P17" s="1" t="s">
        <v>6</v>
      </c>
      <c r="Q17" s="5">
        <f>(F34+F35)/2</f>
        <v>20.524999999999999</v>
      </c>
      <c r="R17" s="5">
        <f>(K34+K35)/2</f>
        <v>20.619999999999997</v>
      </c>
      <c r="S17" s="5">
        <f t="shared" si="1"/>
        <v>0.46285018270401396</v>
      </c>
    </row>
    <row r="18" spans="2:19" x14ac:dyDescent="0.3">
      <c r="B18" s="1" t="s">
        <v>5</v>
      </c>
      <c r="C18" s="1" t="s">
        <v>29</v>
      </c>
      <c r="D18" s="1" t="s">
        <v>6</v>
      </c>
      <c r="E18" s="1">
        <v>1</v>
      </c>
      <c r="F18" s="7">
        <v>17.66</v>
      </c>
      <c r="G18" s="7">
        <v>17.649999999999999</v>
      </c>
      <c r="H18" s="7">
        <v>17.68</v>
      </c>
      <c r="I18" s="7">
        <v>17.670000000000002</v>
      </c>
      <c r="J18" s="7">
        <v>17.690000000000001</v>
      </c>
      <c r="K18" s="9">
        <v>17.75</v>
      </c>
      <c r="L18" s="29" t="s">
        <v>5</v>
      </c>
      <c r="N18" s="1" t="s">
        <v>3</v>
      </c>
      <c r="O18" s="22" t="s">
        <v>34</v>
      </c>
      <c r="P18" s="1" t="s">
        <v>4</v>
      </c>
      <c r="Q18" s="5">
        <f>(F43+F44)/2</f>
        <v>23.064999999999998</v>
      </c>
      <c r="R18" s="5">
        <f>(K43+K44)/2</f>
        <v>23.064999999999998</v>
      </c>
      <c r="S18" s="5">
        <f t="shared" si="1"/>
        <v>0</v>
      </c>
    </row>
    <row r="19" spans="2:19" x14ac:dyDescent="0.3">
      <c r="B19" s="1" t="s">
        <v>5</v>
      </c>
      <c r="C19" s="1" t="s">
        <v>29</v>
      </c>
      <c r="D19" s="1" t="s">
        <v>6</v>
      </c>
      <c r="E19" s="1">
        <v>2</v>
      </c>
      <c r="F19" s="7">
        <v>17.690000000000001</v>
      </c>
      <c r="G19" s="7">
        <v>17.690000000000001</v>
      </c>
      <c r="H19" s="7">
        <v>17.71</v>
      </c>
      <c r="I19" s="7">
        <v>17.690000000000001</v>
      </c>
      <c r="J19" s="7">
        <v>17.73</v>
      </c>
      <c r="K19" s="9">
        <v>17.79</v>
      </c>
      <c r="L19" s="30"/>
      <c r="N19" s="1" t="s">
        <v>3</v>
      </c>
      <c r="O19" s="22" t="s">
        <v>36</v>
      </c>
      <c r="P19" s="1" t="s">
        <v>4</v>
      </c>
      <c r="Q19" s="5">
        <f>(E52+E53)/2</f>
        <v>21.134999999999998</v>
      </c>
      <c r="R19" s="5">
        <f>(J52+J53)/2</f>
        <v>34.61</v>
      </c>
      <c r="S19" s="5">
        <f t="shared" si="1"/>
        <v>63.756801514076187</v>
      </c>
    </row>
    <row r="22" spans="2:19" ht="28.8" x14ac:dyDescent="0.3">
      <c r="B22" s="16" t="s">
        <v>22</v>
      </c>
      <c r="C22" s="16" t="s">
        <v>23</v>
      </c>
      <c r="D22" s="16" t="s">
        <v>27</v>
      </c>
      <c r="E22" s="16" t="s">
        <v>25</v>
      </c>
      <c r="F22" s="16" t="s">
        <v>8</v>
      </c>
      <c r="G22" s="16" t="s">
        <v>7</v>
      </c>
      <c r="H22" s="16" t="s">
        <v>9</v>
      </c>
      <c r="I22" s="16" t="s">
        <v>10</v>
      </c>
      <c r="J22" s="20" t="s">
        <v>11</v>
      </c>
      <c r="K22" s="21" t="s">
        <v>17</v>
      </c>
      <c r="L22" s="21" t="s">
        <v>19</v>
      </c>
      <c r="N22" s="2" t="s">
        <v>20</v>
      </c>
      <c r="O22" s="2" t="s">
        <v>31</v>
      </c>
      <c r="P22" s="2" t="s">
        <v>0</v>
      </c>
      <c r="Q22" s="23" t="s">
        <v>33</v>
      </c>
      <c r="R22" s="23" t="s">
        <v>32</v>
      </c>
      <c r="S22" s="23" t="s">
        <v>38</v>
      </c>
    </row>
    <row r="23" spans="2:19" ht="28.8" x14ac:dyDescent="0.3">
      <c r="B23" s="1" t="s">
        <v>1</v>
      </c>
      <c r="C23" s="22" t="s">
        <v>30</v>
      </c>
      <c r="D23" s="1" t="s">
        <v>4</v>
      </c>
      <c r="E23" s="1">
        <v>1</v>
      </c>
      <c r="F23" s="5">
        <v>22.06</v>
      </c>
      <c r="G23" s="5">
        <v>22.03</v>
      </c>
      <c r="H23" s="5">
        <v>22.07</v>
      </c>
      <c r="I23" s="5">
        <v>22.06</v>
      </c>
      <c r="J23" s="6">
        <v>22.09</v>
      </c>
      <c r="K23" s="7">
        <v>22.18</v>
      </c>
      <c r="L23" s="26" t="s">
        <v>1</v>
      </c>
      <c r="N23" s="1" t="s">
        <v>5</v>
      </c>
      <c r="O23" s="22" t="s">
        <v>40</v>
      </c>
      <c r="P23" s="1" t="s">
        <v>4</v>
      </c>
      <c r="Q23" s="5">
        <f>(F9+F10)/2</f>
        <v>17.829999999999998</v>
      </c>
      <c r="R23" s="5">
        <f>(K9+K10)/2</f>
        <v>18</v>
      </c>
      <c r="S23" s="5">
        <f>((R23-Q23)/Q23)*100</f>
        <v>0.95344924284914045</v>
      </c>
    </row>
    <row r="24" spans="2:19" ht="28.8" x14ac:dyDescent="0.3">
      <c r="B24" s="1" t="s">
        <v>1</v>
      </c>
      <c r="C24" s="22" t="s">
        <v>30</v>
      </c>
      <c r="D24" s="1" t="s">
        <v>4</v>
      </c>
      <c r="E24" s="1">
        <v>2</v>
      </c>
      <c r="F24" s="5">
        <v>22.34</v>
      </c>
      <c r="G24" s="5">
        <v>22.32</v>
      </c>
      <c r="H24" s="5">
        <v>22.35</v>
      </c>
      <c r="I24" s="5">
        <v>22.35</v>
      </c>
      <c r="J24" s="6">
        <v>22.36</v>
      </c>
      <c r="K24" s="7">
        <v>22.51</v>
      </c>
      <c r="L24" s="27"/>
      <c r="N24" s="1" t="s">
        <v>5</v>
      </c>
      <c r="O24" s="22" t="s">
        <v>39</v>
      </c>
      <c r="P24" s="1" t="s">
        <v>6</v>
      </c>
      <c r="Q24" s="5">
        <f>(F18+F19)/2</f>
        <v>17.675000000000001</v>
      </c>
      <c r="R24" s="5">
        <f>(K18+K19)/2</f>
        <v>17.77</v>
      </c>
      <c r="S24" s="5">
        <f t="shared" ref="S24:S28" si="2">((R24-Q24)/Q24)*100</f>
        <v>0.53748231966053106</v>
      </c>
    </row>
    <row r="25" spans="2:19" ht="28.8" x14ac:dyDescent="0.3">
      <c r="B25" s="1" t="s">
        <v>3</v>
      </c>
      <c r="C25" s="22" t="s">
        <v>30</v>
      </c>
      <c r="D25" s="1" t="s">
        <v>4</v>
      </c>
      <c r="E25" s="1">
        <v>1</v>
      </c>
      <c r="F25" s="5">
        <v>21.64</v>
      </c>
      <c r="G25" s="5">
        <v>21.62</v>
      </c>
      <c r="H25" s="5">
        <v>21.65</v>
      </c>
      <c r="I25" s="5">
        <v>21.64</v>
      </c>
      <c r="J25" s="6">
        <v>21.68</v>
      </c>
      <c r="K25" s="7">
        <v>21.75</v>
      </c>
      <c r="L25" s="28" t="s">
        <v>3</v>
      </c>
      <c r="N25" s="1" t="s">
        <v>5</v>
      </c>
      <c r="O25" s="22" t="s">
        <v>42</v>
      </c>
      <c r="P25" s="1" t="s">
        <v>4</v>
      </c>
      <c r="Q25" s="5">
        <f>(F27+F28)/2</f>
        <v>18.995000000000001</v>
      </c>
      <c r="R25" s="5">
        <f>(K27+K28)/2</f>
        <v>19.170000000000002</v>
      </c>
      <c r="S25" s="5">
        <f t="shared" si="2"/>
        <v>0.92129507765201735</v>
      </c>
    </row>
    <row r="26" spans="2:19" ht="28.8" x14ac:dyDescent="0.3">
      <c r="B26" s="1" t="s">
        <v>3</v>
      </c>
      <c r="C26" s="22" t="s">
        <v>30</v>
      </c>
      <c r="D26" s="1" t="s">
        <v>4</v>
      </c>
      <c r="E26" s="1">
        <v>2</v>
      </c>
      <c r="F26" s="5">
        <v>21.49</v>
      </c>
      <c r="G26" s="5">
        <v>21.49</v>
      </c>
      <c r="H26" s="5">
        <v>21.5</v>
      </c>
      <c r="I26" s="5">
        <v>21.5</v>
      </c>
      <c r="J26" s="6">
        <v>21.53</v>
      </c>
      <c r="K26" s="7">
        <v>21.62</v>
      </c>
      <c r="L26" s="27"/>
      <c r="N26" s="1" t="s">
        <v>5</v>
      </c>
      <c r="O26" s="22" t="s">
        <v>41</v>
      </c>
      <c r="P26" s="1" t="s">
        <v>6</v>
      </c>
      <c r="Q26" s="5">
        <f>(F36+F37)/2</f>
        <v>17.96</v>
      </c>
      <c r="R26" s="5">
        <f>(K36+K37)/2</f>
        <v>18.100000000000001</v>
      </c>
      <c r="S26" s="5">
        <f>((R26-Q26)/Q26)*100</f>
        <v>0.77951002227171806</v>
      </c>
    </row>
    <row r="27" spans="2:19" ht="28.8" x14ac:dyDescent="0.3">
      <c r="B27" s="1" t="s">
        <v>5</v>
      </c>
      <c r="C27" s="22" t="s">
        <v>30</v>
      </c>
      <c r="D27" s="1" t="s">
        <v>4</v>
      </c>
      <c r="E27" s="1">
        <v>1</v>
      </c>
      <c r="F27" s="5">
        <v>18.89</v>
      </c>
      <c r="G27" s="5">
        <v>18.87</v>
      </c>
      <c r="H27" s="5">
        <v>18.89</v>
      </c>
      <c r="I27" s="5">
        <v>18.89</v>
      </c>
      <c r="J27" s="6">
        <v>18.940000000000001</v>
      </c>
      <c r="K27" s="7">
        <v>19.09</v>
      </c>
      <c r="L27" s="28" t="s">
        <v>5</v>
      </c>
      <c r="N27" s="1" t="s">
        <v>5</v>
      </c>
      <c r="O27" s="22" t="s">
        <v>34</v>
      </c>
      <c r="P27" s="1" t="s">
        <v>4</v>
      </c>
      <c r="Q27" s="5">
        <f>(F45+F46)/2</f>
        <v>19.16</v>
      </c>
      <c r="R27" s="5">
        <f>(K45+K46)/2</f>
        <v>19.16</v>
      </c>
      <c r="S27" s="5">
        <f t="shared" si="2"/>
        <v>0</v>
      </c>
    </row>
    <row r="28" spans="2:19" ht="28.8" x14ac:dyDescent="0.3">
      <c r="B28" s="1" t="s">
        <v>5</v>
      </c>
      <c r="C28" s="22" t="s">
        <v>30</v>
      </c>
      <c r="D28" s="1" t="s">
        <v>4</v>
      </c>
      <c r="E28" s="1">
        <v>2</v>
      </c>
      <c r="F28" s="5">
        <v>19.100000000000001</v>
      </c>
      <c r="G28" s="5">
        <v>19.09</v>
      </c>
      <c r="H28" s="5">
        <v>19.11</v>
      </c>
      <c r="I28" s="5">
        <v>19.09</v>
      </c>
      <c r="J28" s="6">
        <v>19.13</v>
      </c>
      <c r="K28" s="7">
        <v>19.25</v>
      </c>
      <c r="L28" s="27"/>
      <c r="N28" s="1" t="s">
        <v>5</v>
      </c>
      <c r="O28" s="22" t="s">
        <v>36</v>
      </c>
      <c r="P28" s="1" t="s">
        <v>4</v>
      </c>
      <c r="Q28" s="5">
        <f>(E54+E55)/2</f>
        <v>17.365000000000002</v>
      </c>
      <c r="R28" s="5">
        <f>(J54+J55)/2</f>
        <v>27.545000000000002</v>
      </c>
      <c r="S28" s="5">
        <f t="shared" si="2"/>
        <v>58.623668298301169</v>
      </c>
    </row>
    <row r="31" spans="2:19" x14ac:dyDescent="0.3">
      <c r="B31" s="16" t="s">
        <v>21</v>
      </c>
      <c r="C31" s="16" t="s">
        <v>23</v>
      </c>
      <c r="D31" s="16" t="s">
        <v>27</v>
      </c>
      <c r="E31" s="16" t="s">
        <v>25</v>
      </c>
      <c r="F31" s="16" t="s">
        <v>8</v>
      </c>
      <c r="G31" s="16" t="s">
        <v>7</v>
      </c>
      <c r="H31" s="16" t="s">
        <v>9</v>
      </c>
      <c r="I31" s="16" t="s">
        <v>10</v>
      </c>
      <c r="J31" s="20" t="s">
        <v>11</v>
      </c>
      <c r="K31" s="16" t="s">
        <v>17</v>
      </c>
      <c r="L31" s="21" t="s">
        <v>18</v>
      </c>
    </row>
    <row r="32" spans="2:19" ht="28.8" x14ac:dyDescent="0.3">
      <c r="B32" s="1" t="s">
        <v>1</v>
      </c>
      <c r="C32" s="22" t="s">
        <v>30</v>
      </c>
      <c r="D32" s="1" t="s">
        <v>6</v>
      </c>
      <c r="E32" s="1">
        <v>1</v>
      </c>
      <c r="F32" s="5">
        <v>20.93</v>
      </c>
      <c r="G32" s="5">
        <v>20.91</v>
      </c>
      <c r="H32" s="5">
        <v>20.94</v>
      </c>
      <c r="I32" s="5">
        <v>20.93</v>
      </c>
      <c r="J32" s="6">
        <v>20.96</v>
      </c>
      <c r="K32" s="5">
        <v>21.09</v>
      </c>
      <c r="L32" s="25" t="s">
        <v>1</v>
      </c>
    </row>
    <row r="33" spans="2:12" ht="28.8" x14ac:dyDescent="0.3">
      <c r="B33" s="1" t="s">
        <v>1</v>
      </c>
      <c r="C33" s="22" t="s">
        <v>30</v>
      </c>
      <c r="D33" s="1" t="s">
        <v>6</v>
      </c>
      <c r="E33" s="1">
        <v>2</v>
      </c>
      <c r="F33" s="5">
        <v>20.94</v>
      </c>
      <c r="G33" s="5">
        <v>20.93</v>
      </c>
      <c r="H33" s="5">
        <v>20.96</v>
      </c>
      <c r="I33" s="5">
        <v>20.95</v>
      </c>
      <c r="J33" s="6">
        <v>20.98</v>
      </c>
      <c r="K33" s="5">
        <v>21.08</v>
      </c>
      <c r="L33" s="25"/>
    </row>
    <row r="34" spans="2:12" ht="28.8" x14ac:dyDescent="0.3">
      <c r="B34" s="1" t="s">
        <v>3</v>
      </c>
      <c r="C34" s="22" t="s">
        <v>30</v>
      </c>
      <c r="D34" s="1" t="s">
        <v>6</v>
      </c>
      <c r="E34" s="1">
        <v>1</v>
      </c>
      <c r="F34" s="5">
        <v>20.58</v>
      </c>
      <c r="G34" s="5">
        <v>20.57</v>
      </c>
      <c r="H34" s="5">
        <v>20.6</v>
      </c>
      <c r="I34" s="5">
        <v>20.59</v>
      </c>
      <c r="J34" s="6">
        <v>20.62</v>
      </c>
      <c r="K34" s="5">
        <v>20.68</v>
      </c>
      <c r="L34" s="25" t="s">
        <v>3</v>
      </c>
    </row>
    <row r="35" spans="2:12" ht="28.8" x14ac:dyDescent="0.3">
      <c r="B35" s="1" t="s">
        <v>3</v>
      </c>
      <c r="C35" s="22" t="s">
        <v>30</v>
      </c>
      <c r="D35" s="1" t="s">
        <v>6</v>
      </c>
      <c r="E35" s="1">
        <v>2</v>
      </c>
      <c r="F35" s="5">
        <v>20.47</v>
      </c>
      <c r="G35" s="5">
        <v>20.48</v>
      </c>
      <c r="H35" s="5">
        <v>20.5</v>
      </c>
      <c r="I35" s="5">
        <v>20.49</v>
      </c>
      <c r="J35" s="6">
        <v>20.5</v>
      </c>
      <c r="K35" s="5">
        <v>20.56</v>
      </c>
      <c r="L35" s="25"/>
    </row>
    <row r="36" spans="2:12" ht="28.8" x14ac:dyDescent="0.3">
      <c r="B36" s="1" t="s">
        <v>5</v>
      </c>
      <c r="C36" s="22" t="s">
        <v>30</v>
      </c>
      <c r="D36" s="1" t="s">
        <v>6</v>
      </c>
      <c r="E36" s="1">
        <v>1</v>
      </c>
      <c r="F36" s="5">
        <v>18.02</v>
      </c>
      <c r="G36" s="5">
        <v>18.03</v>
      </c>
      <c r="H36" s="5">
        <v>18.03</v>
      </c>
      <c r="I36" s="5">
        <v>18.07</v>
      </c>
      <c r="J36" s="6">
        <v>18.22</v>
      </c>
      <c r="K36" s="5">
        <v>18.239999999999998</v>
      </c>
      <c r="L36" s="25" t="s">
        <v>5</v>
      </c>
    </row>
    <row r="37" spans="2:12" ht="28.8" x14ac:dyDescent="0.3">
      <c r="B37" s="1" t="s">
        <v>5</v>
      </c>
      <c r="C37" s="22" t="s">
        <v>30</v>
      </c>
      <c r="D37" s="1" t="s">
        <v>6</v>
      </c>
      <c r="E37" s="1">
        <v>2</v>
      </c>
      <c r="F37" s="5">
        <v>17.899999999999999</v>
      </c>
      <c r="G37" s="5">
        <v>17.899999999999999</v>
      </c>
      <c r="H37" s="5">
        <v>17.88</v>
      </c>
      <c r="I37" s="5">
        <v>17.91</v>
      </c>
      <c r="J37" s="6">
        <v>17.940000000000001</v>
      </c>
      <c r="K37" s="5">
        <v>17.96</v>
      </c>
      <c r="L37" s="25"/>
    </row>
    <row r="40" spans="2:12" x14ac:dyDescent="0.3">
      <c r="B40" s="16" t="s">
        <v>22</v>
      </c>
      <c r="C40" s="16" t="s">
        <v>28</v>
      </c>
      <c r="D40" s="16" t="s">
        <v>27</v>
      </c>
      <c r="E40" s="16" t="s">
        <v>25</v>
      </c>
      <c r="F40" s="16" t="s">
        <v>12</v>
      </c>
      <c r="G40" s="16" t="s">
        <v>7</v>
      </c>
      <c r="H40" s="16" t="s">
        <v>9</v>
      </c>
      <c r="I40" s="16" t="s">
        <v>10</v>
      </c>
      <c r="J40" s="16" t="s">
        <v>14</v>
      </c>
      <c r="K40" s="16" t="s">
        <v>15</v>
      </c>
      <c r="L40" s="16" t="s">
        <v>18</v>
      </c>
    </row>
    <row r="41" spans="2:12" x14ac:dyDescent="0.3">
      <c r="B41" s="1" t="s">
        <v>1</v>
      </c>
      <c r="C41" s="1" t="s">
        <v>16</v>
      </c>
      <c r="D41" s="1" t="s">
        <v>4</v>
      </c>
      <c r="E41" s="1">
        <v>1</v>
      </c>
      <c r="F41" s="5">
        <v>23.03</v>
      </c>
      <c r="G41" s="5">
        <v>23.01</v>
      </c>
      <c r="H41" s="5">
        <v>23.02</v>
      </c>
      <c r="I41" s="5">
        <v>23</v>
      </c>
      <c r="J41" s="5">
        <v>23.02</v>
      </c>
      <c r="K41" s="5">
        <v>23.05</v>
      </c>
      <c r="L41" s="24" t="s">
        <v>1</v>
      </c>
    </row>
    <row r="42" spans="2:12" x14ac:dyDescent="0.3">
      <c r="B42" s="1" t="s">
        <v>1</v>
      </c>
      <c r="C42" s="1" t="s">
        <v>16</v>
      </c>
      <c r="D42" s="1" t="s">
        <v>4</v>
      </c>
      <c r="E42" s="1">
        <v>2</v>
      </c>
      <c r="F42" s="5">
        <v>22.89</v>
      </c>
      <c r="G42" s="5">
        <v>22.87</v>
      </c>
      <c r="H42" s="5">
        <v>22.88</v>
      </c>
      <c r="I42" s="5">
        <v>22.86</v>
      </c>
      <c r="J42" s="5">
        <v>22.89</v>
      </c>
      <c r="K42" s="5">
        <v>22.9</v>
      </c>
      <c r="L42" s="24"/>
    </row>
    <row r="43" spans="2:12" x14ac:dyDescent="0.3">
      <c r="B43" s="1" t="s">
        <v>3</v>
      </c>
      <c r="C43" s="1" t="s">
        <v>16</v>
      </c>
      <c r="D43" s="1" t="s">
        <v>4</v>
      </c>
      <c r="E43" s="1">
        <v>1</v>
      </c>
      <c r="F43" s="5">
        <v>23.24</v>
      </c>
      <c r="G43" s="5">
        <v>23.24</v>
      </c>
      <c r="H43" s="5">
        <v>23.23</v>
      </c>
      <c r="I43" s="5">
        <v>23.23</v>
      </c>
      <c r="J43" s="5">
        <v>23.25</v>
      </c>
      <c r="K43" s="5">
        <v>23.25</v>
      </c>
      <c r="L43" s="24" t="s">
        <v>3</v>
      </c>
    </row>
    <row r="44" spans="2:12" x14ac:dyDescent="0.3">
      <c r="B44" s="1" t="s">
        <v>3</v>
      </c>
      <c r="C44" s="1" t="s">
        <v>16</v>
      </c>
      <c r="D44" s="1" t="s">
        <v>4</v>
      </c>
      <c r="E44" s="1">
        <v>2</v>
      </c>
      <c r="F44" s="5">
        <v>22.89</v>
      </c>
      <c r="G44" s="5">
        <v>22.88</v>
      </c>
      <c r="H44" s="5">
        <v>22.89</v>
      </c>
      <c r="I44" s="5">
        <v>22.89</v>
      </c>
      <c r="J44" s="5">
        <v>22.9</v>
      </c>
      <c r="K44" s="5">
        <v>22.88</v>
      </c>
      <c r="L44" s="24"/>
    </row>
    <row r="45" spans="2:12" x14ac:dyDescent="0.3">
      <c r="B45" s="1" t="s">
        <v>5</v>
      </c>
      <c r="C45" s="1" t="s">
        <v>16</v>
      </c>
      <c r="D45" s="1" t="s">
        <v>4</v>
      </c>
      <c r="E45" s="1">
        <v>1</v>
      </c>
      <c r="F45" s="5">
        <v>19.170000000000002</v>
      </c>
      <c r="G45" s="5">
        <v>19.149999999999999</v>
      </c>
      <c r="H45" s="5">
        <v>19.16</v>
      </c>
      <c r="I45" s="5">
        <v>19.149999999999999</v>
      </c>
      <c r="J45" s="5">
        <v>19.170000000000002</v>
      </c>
      <c r="K45" s="5">
        <v>19.149999999999999</v>
      </c>
      <c r="L45" s="24" t="s">
        <v>5</v>
      </c>
    </row>
    <row r="46" spans="2:12" x14ac:dyDescent="0.3">
      <c r="B46" s="1" t="s">
        <v>5</v>
      </c>
      <c r="C46" s="1" t="s">
        <v>16</v>
      </c>
      <c r="D46" s="1" t="s">
        <v>4</v>
      </c>
      <c r="E46" s="1">
        <v>2</v>
      </c>
      <c r="F46" s="5">
        <v>19.149999999999999</v>
      </c>
      <c r="G46" s="5">
        <v>19.149999999999999</v>
      </c>
      <c r="H46" s="5">
        <v>19.16</v>
      </c>
      <c r="I46" s="5">
        <v>19.149999999999999</v>
      </c>
      <c r="J46" s="5">
        <v>19.14</v>
      </c>
      <c r="K46" s="5">
        <v>19.170000000000002</v>
      </c>
      <c r="L46" s="24"/>
    </row>
    <row r="49" spans="2:11" x14ac:dyDescent="0.3">
      <c r="B49" s="16" t="s">
        <v>21</v>
      </c>
      <c r="C49" s="16" t="s">
        <v>28</v>
      </c>
      <c r="D49" s="16" t="s">
        <v>25</v>
      </c>
      <c r="E49" s="16" t="s">
        <v>8</v>
      </c>
      <c r="F49" s="16" t="s">
        <v>7</v>
      </c>
      <c r="G49" s="16" t="s">
        <v>9</v>
      </c>
      <c r="H49" s="16" t="s">
        <v>10</v>
      </c>
      <c r="I49" s="16" t="s">
        <v>11</v>
      </c>
      <c r="J49" s="16" t="s">
        <v>15</v>
      </c>
      <c r="K49" s="16" t="s">
        <v>18</v>
      </c>
    </row>
    <row r="50" spans="2:11" x14ac:dyDescent="0.3">
      <c r="B50" s="1" t="s">
        <v>1</v>
      </c>
      <c r="C50" s="1" t="s">
        <v>13</v>
      </c>
      <c r="D50" s="1">
        <v>1</v>
      </c>
      <c r="E50" s="5">
        <v>21.1</v>
      </c>
      <c r="F50" s="5">
        <v>21.19</v>
      </c>
      <c r="G50" s="5">
        <v>21.28</v>
      </c>
      <c r="H50" s="5">
        <v>21.3</v>
      </c>
      <c r="I50" s="5">
        <v>21.74</v>
      </c>
      <c r="J50" s="5">
        <v>21.82</v>
      </c>
      <c r="K50" s="24" t="s">
        <v>1</v>
      </c>
    </row>
    <row r="51" spans="2:11" x14ac:dyDescent="0.3">
      <c r="B51" s="1" t="s">
        <v>1</v>
      </c>
      <c r="C51" s="1" t="s">
        <v>13</v>
      </c>
      <c r="D51" s="1">
        <v>2</v>
      </c>
      <c r="E51" s="5">
        <v>21.12</v>
      </c>
      <c r="F51" s="5">
        <v>21.13</v>
      </c>
      <c r="G51" s="5">
        <v>21.11</v>
      </c>
      <c r="H51" s="5">
        <v>21.14</v>
      </c>
      <c r="I51" s="5">
        <v>21.25</v>
      </c>
      <c r="J51" s="5">
        <v>21.76</v>
      </c>
      <c r="K51" s="24"/>
    </row>
    <row r="52" spans="2:11" x14ac:dyDescent="0.3">
      <c r="B52" s="1" t="s">
        <v>3</v>
      </c>
      <c r="C52" s="1" t="s">
        <v>13</v>
      </c>
      <c r="D52" s="1">
        <v>1</v>
      </c>
      <c r="E52" s="5">
        <v>21.08</v>
      </c>
      <c r="F52" s="5">
        <v>25.36</v>
      </c>
      <c r="G52" s="5">
        <v>29.21</v>
      </c>
      <c r="H52" s="5">
        <v>31.4</v>
      </c>
      <c r="I52" s="5">
        <v>32.880000000000003</v>
      </c>
      <c r="J52" s="5">
        <v>34.68</v>
      </c>
      <c r="K52" s="24" t="s">
        <v>3</v>
      </c>
    </row>
    <row r="53" spans="2:11" x14ac:dyDescent="0.3">
      <c r="B53" s="1" t="s">
        <v>3</v>
      </c>
      <c r="C53" s="1" t="s">
        <v>13</v>
      </c>
      <c r="D53" s="1">
        <v>2</v>
      </c>
      <c r="E53" s="5">
        <v>21.19</v>
      </c>
      <c r="F53" s="5">
        <v>23.27</v>
      </c>
      <c r="G53" s="5">
        <v>24.95</v>
      </c>
      <c r="H53" s="5">
        <v>25.84</v>
      </c>
      <c r="I53" s="5">
        <v>32.270000000000003</v>
      </c>
      <c r="J53" s="5">
        <v>34.54</v>
      </c>
      <c r="K53" s="24"/>
    </row>
    <row r="54" spans="2:11" x14ac:dyDescent="0.3">
      <c r="B54" s="1" t="s">
        <v>5</v>
      </c>
      <c r="C54" s="1" t="s">
        <v>13</v>
      </c>
      <c r="D54" s="1">
        <v>1</v>
      </c>
      <c r="E54" s="5">
        <v>17.37</v>
      </c>
      <c r="F54" s="5">
        <v>18.04</v>
      </c>
      <c r="G54" s="5">
        <v>18.8</v>
      </c>
      <c r="H54" s="5">
        <v>20.8</v>
      </c>
      <c r="I54" s="5">
        <v>24.94</v>
      </c>
      <c r="J54" s="5">
        <v>27.4</v>
      </c>
      <c r="K54" s="24" t="s">
        <v>5</v>
      </c>
    </row>
    <row r="55" spans="2:11" x14ac:dyDescent="0.3">
      <c r="B55" s="1" t="s">
        <v>5</v>
      </c>
      <c r="C55" s="1" t="s">
        <v>13</v>
      </c>
      <c r="D55" s="1">
        <v>2</v>
      </c>
      <c r="E55" s="5">
        <v>17.36</v>
      </c>
      <c r="F55" s="5">
        <v>19.23</v>
      </c>
      <c r="G55" s="5">
        <v>23.5</v>
      </c>
      <c r="H55" s="5">
        <v>24.91</v>
      </c>
      <c r="I55" s="5">
        <v>27.03</v>
      </c>
      <c r="J55" s="5">
        <v>27.69</v>
      </c>
      <c r="K55" s="24"/>
    </row>
  </sheetData>
  <mergeCells count="18">
    <mergeCell ref="L23:L24"/>
    <mergeCell ref="L25:L26"/>
    <mergeCell ref="L27:L28"/>
    <mergeCell ref="L5:L6"/>
    <mergeCell ref="L7:L8"/>
    <mergeCell ref="L9:L10"/>
    <mergeCell ref="L14:L15"/>
    <mergeCell ref="L16:L17"/>
    <mergeCell ref="L18:L19"/>
    <mergeCell ref="K54:K55"/>
    <mergeCell ref="L41:L42"/>
    <mergeCell ref="L43:L44"/>
    <mergeCell ref="L45:L46"/>
    <mergeCell ref="L32:L33"/>
    <mergeCell ref="L34:L35"/>
    <mergeCell ref="L36:L37"/>
    <mergeCell ref="K50:K51"/>
    <mergeCell ref="K52:K53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d2147e-7988-4fcf-ad0c-52bc379c8a34" xsi:nil="true"/>
    <lcf76f155ced4ddcb4097134ff3c332f xmlns="35701795-6006-4863-8082-d51d28cabaa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A91340AA816B44D841116FDC3E86C24" ma:contentTypeVersion="12" ma:contentTypeDescription="Opprett et nytt dokument." ma:contentTypeScope="" ma:versionID="899300921ba559a9e06644923e6a6894">
  <xsd:schema xmlns:xsd="http://www.w3.org/2001/XMLSchema" xmlns:xs="http://www.w3.org/2001/XMLSchema" xmlns:p="http://schemas.microsoft.com/office/2006/metadata/properties" xmlns:ns2="35701795-6006-4863-8082-d51d28cabaae" xmlns:ns3="4bd2147e-7988-4fcf-ad0c-52bc379c8a34" targetNamespace="http://schemas.microsoft.com/office/2006/metadata/properties" ma:root="true" ma:fieldsID="24a2b468d1e527283b65a6a379b7c8b3" ns2:_="" ns3:_="">
    <xsd:import namespace="35701795-6006-4863-8082-d51d28cabaae"/>
    <xsd:import namespace="4bd2147e-7988-4fcf-ad0c-52bc379c8a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701795-6006-4863-8082-d51d28caba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emerkelapper" ma:readOnly="false" ma:fieldId="{5cf76f15-5ced-4ddc-b409-7134ff3c332f}" ma:taxonomyMulti="true" ma:sspId="7d912fff-f0be-4533-ba2b-d4ff65658f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d2147e-7988-4fcf-ad0c-52bc379c8a34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15f7bd40-5646-4e53-ad70-e237f2fbaa3a}" ma:internalName="TaxCatchAll" ma:showField="CatchAllData" ma:web="4bd2147e-7988-4fcf-ad0c-52bc379c8a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7DE1227-2955-4B1D-9E4A-2E16513BDC8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13595DF-2CF7-4E15-88BC-3A88C3A8C268}">
  <ds:schemaRefs>
    <ds:schemaRef ds:uri="http://schemas.microsoft.com/office/2006/metadata/properties"/>
    <ds:schemaRef ds:uri="http://purl.org/dc/elements/1.1/"/>
    <ds:schemaRef ds:uri="4bd2147e-7988-4fcf-ad0c-52bc379c8a34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35701795-6006-4863-8082-d51d28cabaae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2915652-0E73-4343-A933-EE19D7C1B6A1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35701795-6006-4863-8082-d51d28cabaae"/>
    <ds:schemaRef ds:uri="4bd2147e-7988-4fcf-ad0c-52bc379c8a34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Overflatebehandlig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Emilie Enerhaugen Thrane</dc:creator>
  <cp:lastModifiedBy>Emilie Enerhaugen Thrane</cp:lastModifiedBy>
  <dcterms:created xsi:type="dcterms:W3CDTF">2026-03-25T09:11:31Z</dcterms:created>
  <dcterms:modified xsi:type="dcterms:W3CDTF">2026-05-19T09:19:17Z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0x0101008A91340AA816B44D841116FDC3E86C24</vt:lpwstr>
  </property>
  <property fmtid="{D5CDD505-2E9C-101B-9397-08002B2CF9AE}" pid="3" name="MediaServiceImageTags">
    <vt:lpwstr/>
  </property>
</Properties>
</file>