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sn.sharepoint.com/sites/Testingav3D-printedeplastdelerforundervannsbruk/Shared Documents/General/Vedlegg/"/>
    </mc:Choice>
  </mc:AlternateContent>
  <xr:revisionPtr revIDLastSave="0" documentId="8_{42345B35-4423-4605-9401-83F15ED48690}" xr6:coauthVersionLast="47" xr6:coauthVersionMax="47" xr10:uidLastSave="{00000000-0000-0000-0000-000000000000}"/>
  <bookViews>
    <workbookView xWindow="-108" yWindow="-108" windowWidth="23256" windowHeight="12456" activeTab="3" xr2:uid="{35AF4068-2C20-454F-B884-6F7BA36F6E57}"/>
  </bookViews>
  <sheets>
    <sheet name="PLA" sheetId="1" r:id="rId1"/>
    <sheet name="PETG" sheetId="2" r:id="rId2"/>
    <sheet name="ASA" sheetId="3" r:id="rId3"/>
    <sheet name="Arrheniu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4" l="1"/>
  <c r="W8" i="4"/>
  <c r="X8" i="4" s="1"/>
  <c r="W17" i="4"/>
  <c r="X17" i="4" s="1"/>
  <c r="W16" i="4"/>
  <c r="X16" i="4" s="1"/>
  <c r="I85" i="4"/>
  <c r="M85" i="4" s="1"/>
  <c r="J85" i="4"/>
  <c r="N85" i="4" s="1"/>
  <c r="K85" i="4"/>
  <c r="O85" i="4" s="1"/>
  <c r="I84" i="4"/>
  <c r="M84" i="4" s="1"/>
  <c r="J84" i="4"/>
  <c r="N84" i="4" s="1"/>
  <c r="K84" i="4"/>
  <c r="O84" i="4" s="1"/>
  <c r="I83" i="4"/>
  <c r="M83" i="4" s="1"/>
  <c r="J83" i="4"/>
  <c r="N83" i="4" s="1"/>
  <c r="K83" i="4"/>
  <c r="O83" i="4" s="1"/>
  <c r="H85" i="4"/>
  <c r="L85" i="4" s="1"/>
  <c r="Q78" i="4" s="1"/>
  <c r="H84" i="4"/>
  <c r="L84" i="4" s="1"/>
  <c r="Q77" i="4" s="1"/>
  <c r="H83" i="4"/>
  <c r="L83" i="4" s="1"/>
  <c r="Q76" i="4" s="1"/>
  <c r="I77" i="4"/>
  <c r="P77" i="4" s="1"/>
  <c r="I78" i="4"/>
  <c r="P78" i="4" s="1"/>
  <c r="I76" i="4"/>
  <c r="P76" i="4" s="1"/>
  <c r="W15" i="4"/>
  <c r="W14" i="4"/>
  <c r="I71" i="4"/>
  <c r="M71" i="4" s="1"/>
  <c r="J71" i="4"/>
  <c r="N71" i="4" s="1"/>
  <c r="K71" i="4"/>
  <c r="O71" i="4" s="1"/>
  <c r="I70" i="4"/>
  <c r="M70" i="4" s="1"/>
  <c r="J70" i="4"/>
  <c r="N70" i="4" s="1"/>
  <c r="K70" i="4"/>
  <c r="O70" i="4" s="1"/>
  <c r="I69" i="4"/>
  <c r="M69" i="4" s="1"/>
  <c r="J69" i="4"/>
  <c r="N69" i="4" s="1"/>
  <c r="K69" i="4"/>
  <c r="O69" i="4" s="1"/>
  <c r="H71" i="4"/>
  <c r="L71" i="4" s="1"/>
  <c r="Q65" i="4" s="1"/>
  <c r="H70" i="4"/>
  <c r="L70" i="4" s="1"/>
  <c r="Q64" i="4" s="1"/>
  <c r="H69" i="4"/>
  <c r="L69" i="4" s="1"/>
  <c r="Q63" i="4" s="1"/>
  <c r="I64" i="4"/>
  <c r="P64" i="4" s="1"/>
  <c r="I65" i="4"/>
  <c r="P65" i="4" s="1"/>
  <c r="I63" i="4"/>
  <c r="P63" i="4" s="1"/>
  <c r="W13" i="4"/>
  <c r="X13" i="4" s="1"/>
  <c r="W12" i="4"/>
  <c r="X12" i="4" s="1"/>
  <c r="I58" i="4"/>
  <c r="M58" i="4" s="1"/>
  <c r="J58" i="4"/>
  <c r="N58" i="4" s="1"/>
  <c r="K58" i="4"/>
  <c r="O58" i="4" s="1"/>
  <c r="H58" i="4"/>
  <c r="L58" i="4" s="1"/>
  <c r="Q51" i="4" s="1"/>
  <c r="I57" i="4"/>
  <c r="M57" i="4" s="1"/>
  <c r="J57" i="4"/>
  <c r="N57" i="4" s="1"/>
  <c r="K57" i="4"/>
  <c r="O57" i="4" s="1"/>
  <c r="H57" i="4"/>
  <c r="L57" i="4" s="1"/>
  <c r="Q50" i="4" s="1"/>
  <c r="I56" i="4"/>
  <c r="M56" i="4" s="1"/>
  <c r="J56" i="4"/>
  <c r="N56" i="4" s="1"/>
  <c r="K56" i="4"/>
  <c r="O56" i="4" s="1"/>
  <c r="H56" i="4"/>
  <c r="L56" i="4" s="1"/>
  <c r="Q49" i="4" s="1"/>
  <c r="I50" i="4"/>
  <c r="P50" i="4" s="1"/>
  <c r="I51" i="4"/>
  <c r="P51" i="4" s="1"/>
  <c r="I49" i="4"/>
  <c r="P49" i="4" s="1"/>
  <c r="W9" i="4"/>
  <c r="X9" i="4" s="1"/>
  <c r="H30" i="4"/>
  <c r="L30" i="4" s="1"/>
  <c r="Q23" i="4" s="1"/>
  <c r="I29" i="4"/>
  <c r="M29" i="4" s="1"/>
  <c r="J29" i="4"/>
  <c r="N29" i="4" s="1"/>
  <c r="K29" i="4"/>
  <c r="O29" i="4" s="1"/>
  <c r="H29" i="4"/>
  <c r="L29" i="4" s="1"/>
  <c r="Q22" i="4" s="1"/>
  <c r="I28" i="4"/>
  <c r="M28" i="4" s="1"/>
  <c r="J28" i="4"/>
  <c r="N28" i="4" s="1"/>
  <c r="K28" i="4"/>
  <c r="O28" i="4" s="1"/>
  <c r="H28" i="4"/>
  <c r="L28" i="4" s="1"/>
  <c r="Q21" i="4" s="1"/>
  <c r="I22" i="4"/>
  <c r="P22" i="4" s="1"/>
  <c r="I23" i="4"/>
  <c r="P23" i="4" s="1"/>
  <c r="I21" i="4"/>
  <c r="P21" i="4" s="1"/>
  <c r="W11" i="4"/>
  <c r="X11" i="4" s="1"/>
  <c r="W10" i="4"/>
  <c r="I44" i="4"/>
  <c r="M44" i="4" s="1"/>
  <c r="J44" i="4"/>
  <c r="N44" i="4" s="1"/>
  <c r="K44" i="4"/>
  <c r="O44" i="4" s="1"/>
  <c r="I43" i="4"/>
  <c r="M43" i="4" s="1"/>
  <c r="J43" i="4"/>
  <c r="N43" i="4" s="1"/>
  <c r="K43" i="4"/>
  <c r="O43" i="4" s="1"/>
  <c r="J42" i="4"/>
  <c r="N42" i="4" s="1"/>
  <c r="K42" i="4"/>
  <c r="O42" i="4" s="1"/>
  <c r="I42" i="4"/>
  <c r="M42" i="4" s="1"/>
  <c r="H44" i="4"/>
  <c r="L44" i="4" s="1"/>
  <c r="Q37" i="4" s="1"/>
  <c r="H43" i="4"/>
  <c r="L43" i="4" s="1"/>
  <c r="Q36" i="4" s="1"/>
  <c r="X15" i="4" l="1"/>
  <c r="X14" i="4"/>
  <c r="X10" i="4"/>
  <c r="H42" i="4"/>
  <c r="L42" i="4" s="1"/>
  <c r="Q35" i="4" s="1"/>
  <c r="I36" i="4"/>
  <c r="P36" i="4" s="1"/>
  <c r="I37" i="4"/>
  <c r="P37" i="4" s="1"/>
  <c r="I35" i="4"/>
  <c r="P35" i="4" s="1"/>
  <c r="W7" i="4"/>
  <c r="W6" i="4"/>
  <c r="I8" i="4"/>
  <c r="P8" i="4" s="1"/>
  <c r="I9" i="4"/>
  <c r="P9" i="4" s="1"/>
  <c r="P7" i="4"/>
  <c r="K15" i="4"/>
  <c r="K16" i="4"/>
  <c r="O16" i="4" s="1"/>
  <c r="K14" i="4"/>
  <c r="O14" i="4" s="1"/>
  <c r="J15" i="4"/>
  <c r="N15" i="4" s="1"/>
  <c r="J16" i="4"/>
  <c r="N16" i="4" s="1"/>
  <c r="J14" i="4"/>
  <c r="N14" i="4" s="1"/>
  <c r="I15" i="4"/>
  <c r="M15" i="4" s="1"/>
  <c r="I16" i="4"/>
  <c r="M16" i="4" s="1"/>
  <c r="I14" i="4"/>
  <c r="M14" i="4" s="1"/>
  <c r="H15" i="4"/>
  <c r="L15" i="4" s="1"/>
  <c r="Q8" i="4" s="1"/>
  <c r="H16" i="4"/>
  <c r="H14" i="4"/>
  <c r="L14" i="4" s="1"/>
  <c r="Q7" i="4" s="1"/>
  <c r="X6" i="4" l="1"/>
  <c r="X7" i="4"/>
  <c r="L16" i="4"/>
  <c r="Q9" i="4" s="1"/>
  <c r="O15" i="4"/>
</calcChain>
</file>

<file path=xl/sharedStrings.xml><?xml version="1.0" encoding="utf-8"?>
<sst xmlns="http://schemas.openxmlformats.org/spreadsheetml/2006/main" count="327" uniqueCount="64">
  <si>
    <t xml:space="preserve">Temperatur (°C) </t>
  </si>
  <si>
    <t xml:space="preserve">PLA (våt) </t>
  </si>
  <si>
    <t xml:space="preserve">PETG (Våt) </t>
  </si>
  <si>
    <t xml:space="preserve">Temperatur  (°C) </t>
  </si>
  <si>
    <t>SD/2 (Uke 0)</t>
  </si>
  <si>
    <t>SD/2 (Uke 3)</t>
  </si>
  <si>
    <t>SD/2 (Uke 6)</t>
  </si>
  <si>
    <t>SD/2 (Uke 9)</t>
  </si>
  <si>
    <t>SD/2 (Uke 12)</t>
  </si>
  <si>
    <t xml:space="preserve">ASA (Våt) </t>
  </si>
  <si>
    <t xml:space="preserve">SD/2 (Uke 12) </t>
  </si>
  <si>
    <t xml:space="preserve">PLA (Tørr) </t>
  </si>
  <si>
    <t xml:space="preserve">SD/2 (uke 0) </t>
  </si>
  <si>
    <t xml:space="preserve">SD/2 (uke 3) </t>
  </si>
  <si>
    <t xml:space="preserve">SD/2 (uke 6) </t>
  </si>
  <si>
    <t xml:space="preserve">SD/2 (Uke 9) </t>
  </si>
  <si>
    <t xml:space="preserve">SD/2 (Uke 6) </t>
  </si>
  <si>
    <t xml:space="preserve">SD/2 (Uke 3) </t>
  </si>
  <si>
    <t xml:space="preserve">PETG (Tørr) </t>
  </si>
  <si>
    <t xml:space="preserve">ASA (Tørr) </t>
  </si>
  <si>
    <t xml:space="preserve">SD/2 (Uke 0) </t>
  </si>
  <si>
    <t>SD/2 (uke 3)</t>
  </si>
  <si>
    <t>ASA</t>
  </si>
  <si>
    <t>PETG</t>
  </si>
  <si>
    <t xml:space="preserve">Våt </t>
  </si>
  <si>
    <t xml:space="preserve">Ea (J/mol) </t>
  </si>
  <si>
    <t>Materiale</t>
  </si>
  <si>
    <t xml:space="preserve">Tilstand </t>
  </si>
  <si>
    <t>PLA</t>
  </si>
  <si>
    <t>20-40</t>
  </si>
  <si>
    <t>40-60</t>
  </si>
  <si>
    <t xml:space="preserve">PLA (tørr) </t>
  </si>
  <si>
    <t>Tørr</t>
  </si>
  <si>
    <t>PETG (Tørr)</t>
  </si>
  <si>
    <t>ASA (Våt)</t>
  </si>
  <si>
    <t>ASA (tørr)</t>
  </si>
  <si>
    <t>Intervall (°C)</t>
  </si>
  <si>
    <t>Ea (KJ/mol)</t>
  </si>
  <si>
    <t>1000/T (1000 K⁻¹)</t>
  </si>
  <si>
    <t xml:space="preserve">Ln(k) (3 uker) </t>
  </si>
  <si>
    <t>E-modul uke 3 (Mpa)</t>
  </si>
  <si>
    <t>E-modul uke 6 (Mpa)</t>
  </si>
  <si>
    <t>E-modul uke 9 (Mpa)</t>
  </si>
  <si>
    <t>E-modul uke 12 (MPa)</t>
  </si>
  <si>
    <t>E-modul uke 9 (MPa)</t>
  </si>
  <si>
    <t>E-modul uke 6 (MPa)</t>
  </si>
  <si>
    <t>E-modul uke 3 (MPa)</t>
  </si>
  <si>
    <t>E-modul uke 0 (MPa)</t>
  </si>
  <si>
    <t>N/A</t>
  </si>
  <si>
    <t xml:space="preserve">PLA (Våt) </t>
  </si>
  <si>
    <t>Tøyning uke 0 (%)</t>
  </si>
  <si>
    <t>Tøyning uke 3 (%)</t>
  </si>
  <si>
    <t>Tøyning uke 6 (%)</t>
  </si>
  <si>
    <t>Tøyning uke 9 (%)</t>
  </si>
  <si>
    <t>Tøyning uke 12 (%)</t>
  </si>
  <si>
    <t>ΔE etter 3 uker  (MPa)</t>
  </si>
  <si>
    <t>ΔE etter 6 uker  (MPa)</t>
  </si>
  <si>
    <t>ΔE etter 9 uker  (MPa)</t>
  </si>
  <si>
    <t>ΔE etter 12 uker  (MPa)</t>
  </si>
  <si>
    <t xml:space="preserve">E-modul uke 0 (Mpa) </t>
  </si>
  <si>
    <t>E-modul uke 12 (Mpa)</t>
  </si>
  <si>
    <t xml:space="preserve">k, MPa/uke </t>
  </si>
  <si>
    <t xml:space="preserve">k (MPa/uke) </t>
  </si>
  <si>
    <t>k (MPa/uke)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</si>
</sst>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2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 wrapText="1"/>
    </xf>
    <xf numFmtId="0" fontId="1" fillId="0" borderId="5" xfId="0" applyFont="1" applyBorder="1"/>
    <xf numFmtId="0" fontId="0" fillId="0" borderId="6" xfId="0" applyBorder="1"/>
    <xf numFmtId="0" fontId="0" fillId="3" borderId="5" xfId="0" applyFill="1" applyBorder="1"/>
    <xf numFmtId="0" fontId="2" fillId="0" borderId="0" xfId="0" applyFont="1"/>
    <xf numFmtId="0" fontId="2" fillId="3" borderId="0" xfId="0" applyFont="1" applyFill="1"/>
    <xf numFmtId="0" fontId="0" fillId="0" borderId="7" xfId="0" applyBorder="1"/>
    <xf numFmtId="2" fontId="4" fillId="0" borderId="8" xfId="0" applyNumberFormat="1" applyFon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3" borderId="1" xfId="0" applyFill="1" applyBorder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0" fontId="0" fillId="3" borderId="0" xfId="0" applyFill="1"/>
    <xf numFmtId="0" fontId="5" fillId="2" borderId="1" xfId="0" applyFont="1" applyFill="1" applyBorder="1"/>
    <xf numFmtId="0" fontId="5" fillId="2" borderId="2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2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  <xf numFmtId="2" fontId="0" fillId="0" borderId="8" xfId="0" applyNumberFormat="1" applyBorder="1" applyAlignment="1">
      <alignment horizontal="right" vertical="center"/>
    </xf>
    <xf numFmtId="0" fontId="3" fillId="3" borderId="0" xfId="0" applyFont="1" applyFill="1"/>
    <xf numFmtId="0" fontId="1" fillId="3" borderId="0" xfId="0" applyFont="1" applyFill="1"/>
    <xf numFmtId="0" fontId="5" fillId="3" borderId="0" xfId="0" applyFont="1" applyFill="1" applyAlignment="1">
      <alignment horizontal="center"/>
    </xf>
    <xf numFmtId="0" fontId="5" fillId="3" borderId="0" xfId="0" applyFont="1" applyFill="1"/>
    <xf numFmtId="2" fontId="0" fillId="3" borderId="0" xfId="0" applyNumberFormat="1" applyFill="1"/>
    <xf numFmtId="0" fontId="0" fillId="3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3" borderId="9" xfId="0" applyFill="1" applyBorder="1"/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  <color rgb="FF8F1C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E-modul vs. temperatu</a:t>
            </a:r>
            <a:r>
              <a:rPr lang="nb-NO" baseline="0"/>
              <a:t>r </a:t>
            </a: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PLA!$C$3</c:f>
              <c:strCache>
                <c:ptCount val="1"/>
                <c:pt idx="0">
                  <c:v>E-modul uke 0 (MPa)</c:v>
                </c:pt>
              </c:strCache>
            </c:strRef>
          </c:tx>
          <c:spPr>
            <a:ln w="889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3B13-4905-88FA-94271ADBDEA0}"/>
              </c:ext>
            </c:extLst>
          </c:dPt>
          <c:errBars>
            <c:errDir val="y"/>
            <c:errBarType val="both"/>
            <c:errValType val="cust"/>
            <c:noEndCap val="0"/>
            <c:plus>
              <c:numRef>
                <c:f>PLA!$C$9:$C$11</c:f>
                <c:numCache>
                  <c:formatCode>General</c:formatCode>
                  <c:ptCount val="3"/>
                  <c:pt idx="0">
                    <c:v>94</c:v>
                  </c:pt>
                  <c:pt idx="1">
                    <c:v>94</c:v>
                  </c:pt>
                  <c:pt idx="2">
                    <c:v>94</c:v>
                  </c:pt>
                </c:numCache>
              </c:numRef>
            </c:plus>
            <c:minus>
              <c:numRef>
                <c:f>PLA!$C$9:$C$11</c:f>
                <c:numCache>
                  <c:formatCode>General</c:formatCode>
                  <c:ptCount val="3"/>
                  <c:pt idx="0">
                    <c:v>94</c:v>
                  </c:pt>
                  <c:pt idx="1">
                    <c:v>94</c:v>
                  </c:pt>
                  <c:pt idx="2">
                    <c:v>94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PLA!$B$4:$B$6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PLA!$C$4:$C$6</c:f>
              <c:numCache>
                <c:formatCode>0.00</c:formatCode>
                <c:ptCount val="3"/>
                <c:pt idx="0">
                  <c:v>1460</c:v>
                </c:pt>
                <c:pt idx="1">
                  <c:v>1460</c:v>
                </c:pt>
                <c:pt idx="2">
                  <c:v>1460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B13-4905-88FA-94271ADBDEA0}"/>
            </c:ext>
          </c:extLst>
        </c:ser>
        <c:ser>
          <c:idx val="1"/>
          <c:order val="1"/>
          <c:tx>
            <c:strRef>
              <c:f>PLA!$D$3</c:f>
              <c:strCache>
                <c:ptCount val="1"/>
                <c:pt idx="0">
                  <c:v>E-modul uke 3 (MPa)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PLA!$D$9:$D$11</c:f>
                <c:numCache>
                  <c:formatCode>General</c:formatCode>
                  <c:ptCount val="3"/>
                  <c:pt idx="0">
                    <c:v>140.5</c:v>
                  </c:pt>
                  <c:pt idx="1">
                    <c:v>140</c:v>
                  </c:pt>
                  <c:pt idx="2">
                    <c:v>70.5</c:v>
                  </c:pt>
                </c:numCache>
              </c:numRef>
            </c:plus>
            <c:minus>
              <c:numRef>
                <c:f>PLA!$D$9:$D$11</c:f>
                <c:numCache>
                  <c:formatCode>General</c:formatCode>
                  <c:ptCount val="3"/>
                  <c:pt idx="0">
                    <c:v>140.5</c:v>
                  </c:pt>
                  <c:pt idx="1">
                    <c:v>140</c:v>
                  </c:pt>
                  <c:pt idx="2">
                    <c:v>70.5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PLA!$B$4:$B$6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PLA!$D$4:$D$6</c:f>
              <c:numCache>
                <c:formatCode>0.00</c:formatCode>
                <c:ptCount val="3"/>
                <c:pt idx="0">
                  <c:v>1130</c:v>
                </c:pt>
                <c:pt idx="1">
                  <c:v>710</c:v>
                </c:pt>
                <c:pt idx="2">
                  <c:v>1310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B13-4905-88FA-94271ADBDEA0}"/>
            </c:ext>
          </c:extLst>
        </c:ser>
        <c:ser>
          <c:idx val="2"/>
          <c:order val="2"/>
          <c:tx>
            <c:strRef>
              <c:f>PLA!$E$3</c:f>
              <c:strCache>
                <c:ptCount val="1"/>
                <c:pt idx="0">
                  <c:v>E-modul uke 6 (MPa)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PLA!$E$9:$E$11</c:f>
                <c:numCache>
                  <c:formatCode>General</c:formatCode>
                  <c:ptCount val="3"/>
                  <c:pt idx="0">
                    <c:v>176</c:v>
                  </c:pt>
                  <c:pt idx="1">
                    <c:v>136</c:v>
                  </c:pt>
                  <c:pt idx="2">
                    <c:v>0</c:v>
                  </c:pt>
                </c:numCache>
              </c:numRef>
            </c:plus>
            <c:minus>
              <c:numRef>
                <c:f>PLA!$E$9:$E$11</c:f>
                <c:numCache>
                  <c:formatCode>General</c:formatCode>
                  <c:ptCount val="3"/>
                  <c:pt idx="0">
                    <c:v>176</c:v>
                  </c:pt>
                  <c:pt idx="1">
                    <c:v>136</c:v>
                  </c:pt>
                  <c:pt idx="2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PLA!$B$4:$B$6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PLA!$E$4:$E$6</c:f>
              <c:numCache>
                <c:formatCode>0.00</c:formatCode>
                <c:ptCount val="3"/>
                <c:pt idx="0">
                  <c:v>1150</c:v>
                </c:pt>
                <c:pt idx="1">
                  <c:v>1100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B13-4905-88FA-94271ADBDEA0}"/>
            </c:ext>
          </c:extLst>
        </c:ser>
        <c:ser>
          <c:idx val="3"/>
          <c:order val="3"/>
          <c:tx>
            <c:strRef>
              <c:f>PLA!$F$3</c:f>
              <c:strCache>
                <c:ptCount val="1"/>
                <c:pt idx="0">
                  <c:v>E-modul uke 9 (MPa)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PLA!$F$9:$F$11</c:f>
                <c:numCache>
                  <c:formatCode>General</c:formatCode>
                  <c:ptCount val="3"/>
                  <c:pt idx="0">
                    <c:v>151</c:v>
                  </c:pt>
                  <c:pt idx="1">
                    <c:v>37.4</c:v>
                  </c:pt>
                  <c:pt idx="2">
                    <c:v>0</c:v>
                  </c:pt>
                </c:numCache>
              </c:numRef>
            </c:plus>
            <c:minus>
              <c:numRef>
                <c:f>PLA!$F$9:$F$11</c:f>
                <c:numCache>
                  <c:formatCode>General</c:formatCode>
                  <c:ptCount val="3"/>
                  <c:pt idx="0">
                    <c:v>151</c:v>
                  </c:pt>
                  <c:pt idx="1">
                    <c:v>37.4</c:v>
                  </c:pt>
                  <c:pt idx="2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PLA!$B$4:$B$6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PLA!$F$4:$F$6</c:f>
              <c:numCache>
                <c:formatCode>0.00</c:formatCode>
                <c:ptCount val="3"/>
                <c:pt idx="0">
                  <c:v>1130</c:v>
                </c:pt>
                <c:pt idx="1">
                  <c:v>1280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B13-4905-88FA-94271ADBDEA0}"/>
            </c:ext>
          </c:extLst>
        </c:ser>
        <c:ser>
          <c:idx val="4"/>
          <c:order val="4"/>
          <c:tx>
            <c:strRef>
              <c:f>PLA!$G$3</c:f>
              <c:strCache>
                <c:ptCount val="1"/>
                <c:pt idx="0">
                  <c:v>E-modul uke 12 (MPa)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PLA!$B$4:$B$6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PLA!$G$4:$G$6</c:f>
              <c:numCache>
                <c:formatCode>0.00</c:formatCode>
                <c:ptCount val="3"/>
                <c:pt idx="0">
                  <c:v>1010</c:v>
                </c:pt>
                <c:pt idx="1">
                  <c:v>862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B13-4905-88FA-94271ADBD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2949984"/>
        <c:axId val="652956464"/>
      </c:lineChart>
      <c:catAx>
        <c:axId val="652949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Temperatur (°C) </a:t>
                </a:r>
                <a:r>
                  <a:rPr lang="nb-NO" baseline="0"/>
                  <a:t> </a:t>
                </a:r>
                <a:endParaRPr lang="nb-N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52956464"/>
        <c:crosses val="autoZero"/>
        <c:auto val="1"/>
        <c:lblAlgn val="ctr"/>
        <c:lblOffset val="100"/>
        <c:noMultiLvlLbl val="0"/>
      </c:catAx>
      <c:valAx>
        <c:axId val="65295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E-modul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52949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Tøyning vs.</a:t>
            </a:r>
            <a:r>
              <a:rPr lang="nb-NO" baseline="0"/>
              <a:t> temperatur </a:t>
            </a: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PLA!$C$35</c:f>
              <c:strCache>
                <c:ptCount val="1"/>
                <c:pt idx="0">
                  <c:v>Tøyning uke 0 (%)</c:v>
                </c:pt>
              </c:strCache>
            </c:strRef>
          </c:tx>
          <c:spPr>
            <a:ln w="889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PLA!$C$41:$C$43</c:f>
                <c:numCache>
                  <c:formatCode>General</c:formatCode>
                  <c:ptCount val="3"/>
                  <c:pt idx="0">
                    <c:v>1.81</c:v>
                  </c:pt>
                  <c:pt idx="1">
                    <c:v>1.81</c:v>
                  </c:pt>
                  <c:pt idx="2">
                    <c:v>1.81</c:v>
                  </c:pt>
                </c:numCache>
              </c:numRef>
            </c:plus>
            <c:minus>
              <c:numRef>
                <c:f>PLA!$C$41:$C$43</c:f>
                <c:numCache>
                  <c:formatCode>General</c:formatCode>
                  <c:ptCount val="3"/>
                  <c:pt idx="0">
                    <c:v>1.81</c:v>
                  </c:pt>
                  <c:pt idx="1">
                    <c:v>1.81</c:v>
                  </c:pt>
                  <c:pt idx="2">
                    <c:v>1.81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PLA!$B$36:$B$38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PLA!$C$36:$C$38</c:f>
              <c:numCache>
                <c:formatCode>0.00</c:formatCode>
                <c:ptCount val="3"/>
                <c:pt idx="0">
                  <c:v>12.3</c:v>
                </c:pt>
                <c:pt idx="1">
                  <c:v>12.3</c:v>
                </c:pt>
                <c:pt idx="2">
                  <c:v>12.3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FFE-4E3C-9E87-EF03DDE8B1AC}"/>
            </c:ext>
          </c:extLst>
        </c:ser>
        <c:ser>
          <c:idx val="1"/>
          <c:order val="1"/>
          <c:tx>
            <c:strRef>
              <c:f>PLA!$D$35</c:f>
              <c:strCache>
                <c:ptCount val="1"/>
                <c:pt idx="0">
                  <c:v>Tøyning uke 3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PLA!$D$41:$D$43</c:f>
                <c:numCache>
                  <c:formatCode>General</c:formatCode>
                  <c:ptCount val="3"/>
                  <c:pt idx="0">
                    <c:v>2.66</c:v>
                  </c:pt>
                  <c:pt idx="1">
                    <c:v>7.95</c:v>
                  </c:pt>
                  <c:pt idx="2">
                    <c:v>0.5</c:v>
                  </c:pt>
                </c:numCache>
              </c:numRef>
            </c:plus>
            <c:minus>
              <c:numRef>
                <c:f>PLA!$D$41:$D$43</c:f>
                <c:numCache>
                  <c:formatCode>General</c:formatCode>
                  <c:ptCount val="3"/>
                  <c:pt idx="0">
                    <c:v>2.66</c:v>
                  </c:pt>
                  <c:pt idx="1">
                    <c:v>7.95</c:v>
                  </c:pt>
                  <c:pt idx="2">
                    <c:v>0.5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PLA!$B$36:$B$38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PLA!$D$36:$D$38</c:f>
              <c:numCache>
                <c:formatCode>0.00</c:formatCode>
                <c:ptCount val="3"/>
                <c:pt idx="0">
                  <c:v>24.1</c:v>
                </c:pt>
                <c:pt idx="1">
                  <c:v>42.1</c:v>
                </c:pt>
                <c:pt idx="2">
                  <c:v>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FFE-4E3C-9E87-EF03DDE8B1AC}"/>
            </c:ext>
          </c:extLst>
        </c:ser>
        <c:ser>
          <c:idx val="2"/>
          <c:order val="2"/>
          <c:tx>
            <c:strRef>
              <c:f>PLA!$E$35</c:f>
              <c:strCache>
                <c:ptCount val="1"/>
                <c:pt idx="0">
                  <c:v>Tøyning uke 6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PLA!$E$41:$E$43</c:f>
                <c:numCache>
                  <c:formatCode>General</c:formatCode>
                  <c:ptCount val="3"/>
                  <c:pt idx="0">
                    <c:v>10.25</c:v>
                  </c:pt>
                  <c:pt idx="1">
                    <c:v>4.38</c:v>
                  </c:pt>
                  <c:pt idx="2">
                    <c:v>0</c:v>
                  </c:pt>
                </c:numCache>
              </c:numRef>
            </c:plus>
            <c:minus>
              <c:numRef>
                <c:f>PLA!$E$41:$E$43</c:f>
                <c:numCache>
                  <c:formatCode>General</c:formatCode>
                  <c:ptCount val="3"/>
                  <c:pt idx="0">
                    <c:v>10.25</c:v>
                  </c:pt>
                  <c:pt idx="1">
                    <c:v>4.38</c:v>
                  </c:pt>
                  <c:pt idx="2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PLA!$B$36:$B$38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PLA!$E$36:$E$38</c:f>
              <c:numCache>
                <c:formatCode>0.00</c:formatCode>
                <c:ptCount val="3"/>
                <c:pt idx="0">
                  <c:v>37.200000000000003</c:v>
                </c:pt>
                <c:pt idx="1">
                  <c:v>34.4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FFE-4E3C-9E87-EF03DDE8B1AC}"/>
            </c:ext>
          </c:extLst>
        </c:ser>
        <c:ser>
          <c:idx val="3"/>
          <c:order val="3"/>
          <c:tx>
            <c:strRef>
              <c:f>PLA!$F$35</c:f>
              <c:strCache>
                <c:ptCount val="1"/>
                <c:pt idx="0">
                  <c:v>Tøyning uke 9 (%)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PLA!$F$41:$F$43</c:f>
                <c:numCache>
                  <c:formatCode>General</c:formatCode>
                  <c:ptCount val="3"/>
                  <c:pt idx="0">
                    <c:v>5.3</c:v>
                  </c:pt>
                  <c:pt idx="1">
                    <c:v>7</c:v>
                  </c:pt>
                  <c:pt idx="2">
                    <c:v>0</c:v>
                  </c:pt>
                </c:numCache>
              </c:numRef>
            </c:plus>
            <c:minus>
              <c:numRef>
                <c:f>PLA!$F$41:$F$43</c:f>
                <c:numCache>
                  <c:formatCode>General</c:formatCode>
                  <c:ptCount val="3"/>
                  <c:pt idx="0">
                    <c:v>5.3</c:v>
                  </c:pt>
                  <c:pt idx="1">
                    <c:v>7</c:v>
                  </c:pt>
                  <c:pt idx="2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PLA!$B$36:$B$38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PLA!$F$36:$F$38</c:f>
              <c:numCache>
                <c:formatCode>0.00</c:formatCode>
                <c:ptCount val="3"/>
                <c:pt idx="0">
                  <c:v>28.4</c:v>
                </c:pt>
                <c:pt idx="1">
                  <c:v>24.1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FFE-4E3C-9E87-EF03DDE8B1AC}"/>
            </c:ext>
          </c:extLst>
        </c:ser>
        <c:ser>
          <c:idx val="4"/>
          <c:order val="4"/>
          <c:tx>
            <c:strRef>
              <c:f>PLA!$G$35</c:f>
              <c:strCache>
                <c:ptCount val="1"/>
                <c:pt idx="0">
                  <c:v>Tøyning uke 12 (%)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PLA!$B$36:$B$38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PLA!$G$36:$G$38</c:f>
              <c:numCache>
                <c:formatCode>0.00</c:formatCode>
                <c:ptCount val="3"/>
                <c:pt idx="0">
                  <c:v>30.5</c:v>
                </c:pt>
                <c:pt idx="1">
                  <c:v>17.7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FFE-4E3C-9E87-EF03DDE8B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8751408"/>
        <c:axId val="958755368"/>
      </c:lineChart>
      <c:catAx>
        <c:axId val="958751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Temperatur (°C) </a:t>
                </a:r>
                <a:r>
                  <a:rPr lang="nb-NO" baseline="0"/>
                  <a:t> </a:t>
                </a:r>
                <a:endParaRPr lang="nb-N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958755368"/>
        <c:crosses val="autoZero"/>
        <c:auto val="1"/>
        <c:lblAlgn val="ctr"/>
        <c:lblOffset val="100"/>
        <c:noMultiLvlLbl val="0"/>
      </c:catAx>
      <c:valAx>
        <c:axId val="958755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Tøyning  (%) </a:t>
                </a:r>
              </a:p>
            </c:rich>
          </c:tx>
          <c:layout>
            <c:manualLayout>
              <c:xMode val="edge"/>
              <c:yMode val="edge"/>
              <c:x val="2.032520325203252E-2"/>
              <c:y val="0.341249452485968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95875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E-modul vs. temperatur</a:t>
            </a:r>
            <a:r>
              <a:rPr lang="nb-NO" baseline="0"/>
              <a:t> </a:t>
            </a: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PLA!$K$3</c:f>
              <c:strCache>
                <c:ptCount val="1"/>
                <c:pt idx="0">
                  <c:v>E-modul uke 0 (MPa)</c:v>
                </c:pt>
              </c:strCache>
            </c:strRef>
          </c:tx>
          <c:spPr>
            <a:ln w="889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PLA!$K$9:$K$11</c:f>
                <c:numCache>
                  <c:formatCode>General</c:formatCode>
                  <c:ptCount val="3"/>
                  <c:pt idx="0">
                    <c:v>94</c:v>
                  </c:pt>
                  <c:pt idx="1">
                    <c:v>94</c:v>
                  </c:pt>
                  <c:pt idx="2">
                    <c:v>94</c:v>
                  </c:pt>
                </c:numCache>
              </c:numRef>
            </c:plus>
            <c:minus>
              <c:numRef>
                <c:f>PLA!$K$9:$K$11</c:f>
                <c:numCache>
                  <c:formatCode>General</c:formatCode>
                  <c:ptCount val="3"/>
                  <c:pt idx="0">
                    <c:v>94</c:v>
                  </c:pt>
                  <c:pt idx="1">
                    <c:v>94</c:v>
                  </c:pt>
                  <c:pt idx="2">
                    <c:v>94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PLA!$J$4:$J$6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PLA!$K$4:$K$6</c:f>
              <c:numCache>
                <c:formatCode>0.00</c:formatCode>
                <c:ptCount val="3"/>
                <c:pt idx="0">
                  <c:v>1460</c:v>
                </c:pt>
                <c:pt idx="1">
                  <c:v>1460</c:v>
                </c:pt>
                <c:pt idx="2">
                  <c:v>1460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85-4802-B89C-52FE1FFE11FE}"/>
            </c:ext>
          </c:extLst>
        </c:ser>
        <c:ser>
          <c:idx val="1"/>
          <c:order val="1"/>
          <c:tx>
            <c:strRef>
              <c:f>PLA!$L$3</c:f>
              <c:strCache>
                <c:ptCount val="1"/>
                <c:pt idx="0">
                  <c:v>E-modul uke 3 (MPa)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PLA!$L$9:$L$11</c:f>
                <c:numCache>
                  <c:formatCode>General</c:formatCode>
                  <c:ptCount val="3"/>
                  <c:pt idx="0">
                    <c:v>80.5</c:v>
                  </c:pt>
                  <c:pt idx="1">
                    <c:v>125</c:v>
                  </c:pt>
                  <c:pt idx="2">
                    <c:v>271</c:v>
                  </c:pt>
                </c:numCache>
              </c:numRef>
            </c:plus>
            <c:minus>
              <c:numRef>
                <c:f>PLA!$L$9:$L$11</c:f>
                <c:numCache>
                  <c:formatCode>General</c:formatCode>
                  <c:ptCount val="3"/>
                  <c:pt idx="0">
                    <c:v>80.5</c:v>
                  </c:pt>
                  <c:pt idx="1">
                    <c:v>125</c:v>
                  </c:pt>
                  <c:pt idx="2">
                    <c:v>271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PLA!$J$4:$J$6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PLA!$L$4:$L$6</c:f>
              <c:numCache>
                <c:formatCode>0.00</c:formatCode>
                <c:ptCount val="3"/>
                <c:pt idx="0">
                  <c:v>669</c:v>
                </c:pt>
                <c:pt idx="1">
                  <c:v>830</c:v>
                </c:pt>
                <c:pt idx="2">
                  <c:v>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F85-4802-B89C-52FE1FFE11FE}"/>
            </c:ext>
          </c:extLst>
        </c:ser>
        <c:ser>
          <c:idx val="2"/>
          <c:order val="2"/>
          <c:tx>
            <c:strRef>
              <c:f>PLA!$M$3</c:f>
              <c:strCache>
                <c:ptCount val="1"/>
                <c:pt idx="0">
                  <c:v>E-modul uke 6 (MPa)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PLA!$M$9:$M$11</c:f>
                <c:numCache>
                  <c:formatCode>General</c:formatCode>
                  <c:ptCount val="3"/>
                  <c:pt idx="0">
                    <c:v>197</c:v>
                  </c:pt>
                  <c:pt idx="1">
                    <c:v>176.5</c:v>
                  </c:pt>
                  <c:pt idx="2">
                    <c:v>0</c:v>
                  </c:pt>
                </c:numCache>
              </c:numRef>
            </c:plus>
            <c:minus>
              <c:numRef>
                <c:f>PLA!$M$9:$M$11</c:f>
                <c:numCache>
                  <c:formatCode>General</c:formatCode>
                  <c:ptCount val="3"/>
                  <c:pt idx="0">
                    <c:v>197</c:v>
                  </c:pt>
                  <c:pt idx="1">
                    <c:v>176.5</c:v>
                  </c:pt>
                  <c:pt idx="2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PLA!$J$4:$J$6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PLA!$M$4:$M$6</c:f>
              <c:numCache>
                <c:formatCode>0.00</c:formatCode>
                <c:ptCount val="3"/>
                <c:pt idx="0">
                  <c:v>1100</c:v>
                </c:pt>
                <c:pt idx="1">
                  <c:v>1070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F85-4802-B89C-52FE1FFE11FE}"/>
            </c:ext>
          </c:extLst>
        </c:ser>
        <c:ser>
          <c:idx val="3"/>
          <c:order val="3"/>
          <c:tx>
            <c:strRef>
              <c:f>PLA!$N$3</c:f>
              <c:strCache>
                <c:ptCount val="1"/>
                <c:pt idx="0">
                  <c:v>E-modul uke 9 (MPa)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PLA!$N$9:$N$11</c:f>
                <c:numCache>
                  <c:formatCode>General</c:formatCode>
                  <c:ptCount val="3"/>
                  <c:pt idx="0">
                    <c:v>29.35</c:v>
                  </c:pt>
                  <c:pt idx="1">
                    <c:v>47.3</c:v>
                  </c:pt>
                  <c:pt idx="2">
                    <c:v>0</c:v>
                  </c:pt>
                </c:numCache>
              </c:numRef>
            </c:plus>
            <c:minus>
              <c:numRef>
                <c:f>PLA!$N$9:$N$11</c:f>
                <c:numCache>
                  <c:formatCode>General</c:formatCode>
                  <c:ptCount val="3"/>
                  <c:pt idx="0">
                    <c:v>29.35</c:v>
                  </c:pt>
                  <c:pt idx="1">
                    <c:v>47.3</c:v>
                  </c:pt>
                  <c:pt idx="2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PLA!$J$4:$J$6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PLA!$N$4:$N$6</c:f>
              <c:numCache>
                <c:formatCode>0.00</c:formatCode>
                <c:ptCount val="3"/>
                <c:pt idx="0">
                  <c:v>1350</c:v>
                </c:pt>
                <c:pt idx="1">
                  <c:v>1320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F85-4802-B89C-52FE1FFE11FE}"/>
            </c:ext>
          </c:extLst>
        </c:ser>
        <c:ser>
          <c:idx val="4"/>
          <c:order val="4"/>
          <c:tx>
            <c:strRef>
              <c:f>PLA!$O$3</c:f>
              <c:strCache>
                <c:ptCount val="1"/>
                <c:pt idx="0">
                  <c:v>E-modul uke 12 (MPa)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PLA!$J$4:$J$6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PLA!$O$4:$O$6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F85-4802-B89C-52FE1FFE1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0508568"/>
        <c:axId val="920510008"/>
      </c:lineChart>
      <c:catAx>
        <c:axId val="920508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Temperatur (°C) 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920510008"/>
        <c:crosses val="autoZero"/>
        <c:auto val="1"/>
        <c:lblAlgn val="ctr"/>
        <c:lblOffset val="100"/>
        <c:noMultiLvlLbl val="0"/>
      </c:catAx>
      <c:valAx>
        <c:axId val="920510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E-modul (MPa)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920508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Elongation</a:t>
            </a:r>
            <a:r>
              <a:rPr lang="nb-NO" baseline="0"/>
              <a:t> vs. temperatur </a:t>
            </a: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PLA!$K$35</c:f>
              <c:strCache>
                <c:ptCount val="1"/>
                <c:pt idx="0">
                  <c:v>Tøyning uke 0 (%)</c:v>
                </c:pt>
              </c:strCache>
            </c:strRef>
          </c:tx>
          <c:spPr>
            <a:ln w="889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PLA!$K$41:$K$43</c:f>
                <c:numCache>
                  <c:formatCode>General</c:formatCode>
                  <c:ptCount val="3"/>
                  <c:pt idx="0">
                    <c:v>1.81</c:v>
                  </c:pt>
                  <c:pt idx="1">
                    <c:v>1.81</c:v>
                  </c:pt>
                  <c:pt idx="2">
                    <c:v>1.81</c:v>
                  </c:pt>
                </c:numCache>
              </c:numRef>
            </c:plus>
            <c:minus>
              <c:numRef>
                <c:f>PLA!$K$41:$K$43</c:f>
                <c:numCache>
                  <c:formatCode>General</c:formatCode>
                  <c:ptCount val="3"/>
                  <c:pt idx="0">
                    <c:v>1.81</c:v>
                  </c:pt>
                  <c:pt idx="1">
                    <c:v>1.81</c:v>
                  </c:pt>
                  <c:pt idx="2">
                    <c:v>1.81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PLA!$J$36:$J$38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PLA!$K$36:$K$38</c:f>
              <c:numCache>
                <c:formatCode>0.00</c:formatCode>
                <c:ptCount val="3"/>
                <c:pt idx="0">
                  <c:v>12.3</c:v>
                </c:pt>
                <c:pt idx="1">
                  <c:v>12.3</c:v>
                </c:pt>
                <c:pt idx="2">
                  <c:v>12.3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72-4806-9967-1DFDED55796C}"/>
            </c:ext>
          </c:extLst>
        </c:ser>
        <c:ser>
          <c:idx val="1"/>
          <c:order val="1"/>
          <c:tx>
            <c:strRef>
              <c:f>PLA!$L$35</c:f>
              <c:strCache>
                <c:ptCount val="1"/>
                <c:pt idx="0">
                  <c:v>Tøyning uke 3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PLA!$L$41:$L$43</c:f>
                <c:numCache>
                  <c:formatCode>General</c:formatCode>
                  <c:ptCount val="3"/>
                  <c:pt idx="0">
                    <c:v>4.03</c:v>
                  </c:pt>
                  <c:pt idx="1">
                    <c:v>6.45</c:v>
                  </c:pt>
                  <c:pt idx="2">
                    <c:v>0.98</c:v>
                  </c:pt>
                </c:numCache>
              </c:numRef>
            </c:plus>
            <c:minus>
              <c:numRef>
                <c:f>PLA!$L$41:$L$43</c:f>
                <c:numCache>
                  <c:formatCode>General</c:formatCode>
                  <c:ptCount val="3"/>
                  <c:pt idx="0">
                    <c:v>4.03</c:v>
                  </c:pt>
                  <c:pt idx="1">
                    <c:v>6.45</c:v>
                  </c:pt>
                  <c:pt idx="2">
                    <c:v>0.98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PLA!$J$36:$J$38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PLA!$L$36:$L$38</c:f>
              <c:numCache>
                <c:formatCode>0.00</c:formatCode>
                <c:ptCount val="3"/>
                <c:pt idx="0">
                  <c:v>15</c:v>
                </c:pt>
                <c:pt idx="1">
                  <c:v>30.4</c:v>
                </c:pt>
                <c:pt idx="2">
                  <c:v>7.43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72-4806-9967-1DFDED55796C}"/>
            </c:ext>
          </c:extLst>
        </c:ser>
        <c:ser>
          <c:idx val="2"/>
          <c:order val="2"/>
          <c:tx>
            <c:strRef>
              <c:f>PLA!$M$35</c:f>
              <c:strCache>
                <c:ptCount val="1"/>
                <c:pt idx="0">
                  <c:v>Tøyning uke 6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PLA!$M$41:$M$43</c:f>
                <c:numCache>
                  <c:formatCode>General</c:formatCode>
                  <c:ptCount val="3"/>
                  <c:pt idx="0">
                    <c:v>2.4</c:v>
                  </c:pt>
                  <c:pt idx="1">
                    <c:v>2.09</c:v>
                  </c:pt>
                  <c:pt idx="2">
                    <c:v>0</c:v>
                  </c:pt>
                </c:numCache>
              </c:numRef>
            </c:plus>
            <c:minus>
              <c:numRef>
                <c:f>PLA!$M$41:$M$43</c:f>
                <c:numCache>
                  <c:formatCode>General</c:formatCode>
                  <c:ptCount val="3"/>
                  <c:pt idx="0">
                    <c:v>2.4</c:v>
                  </c:pt>
                  <c:pt idx="1">
                    <c:v>2.09</c:v>
                  </c:pt>
                  <c:pt idx="2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PLA!$J$36:$J$38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PLA!$M$36:$M$38</c:f>
              <c:numCache>
                <c:formatCode>0.00</c:formatCode>
                <c:ptCount val="3"/>
                <c:pt idx="0">
                  <c:v>14.9</c:v>
                </c:pt>
                <c:pt idx="1">
                  <c:v>26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72-4806-9967-1DFDED55796C}"/>
            </c:ext>
          </c:extLst>
        </c:ser>
        <c:ser>
          <c:idx val="3"/>
          <c:order val="3"/>
          <c:tx>
            <c:strRef>
              <c:f>PLA!$N$35</c:f>
              <c:strCache>
                <c:ptCount val="1"/>
                <c:pt idx="0">
                  <c:v>Tøyning uke 9 (%)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PLA!$N$41:$N$43</c:f>
                <c:numCache>
                  <c:formatCode>General</c:formatCode>
                  <c:ptCount val="3"/>
                  <c:pt idx="0">
                    <c:v>3.92</c:v>
                  </c:pt>
                  <c:pt idx="1">
                    <c:v>9.4</c:v>
                  </c:pt>
                  <c:pt idx="2">
                    <c:v>0</c:v>
                  </c:pt>
                </c:numCache>
              </c:numRef>
            </c:plus>
            <c:minus>
              <c:numRef>
                <c:f>PLA!$N$41:$N$43</c:f>
                <c:numCache>
                  <c:formatCode>General</c:formatCode>
                  <c:ptCount val="3"/>
                  <c:pt idx="0">
                    <c:v>3.92</c:v>
                  </c:pt>
                  <c:pt idx="1">
                    <c:v>9.4</c:v>
                  </c:pt>
                  <c:pt idx="2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PLA!$J$36:$J$38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PLA!$N$36:$N$38</c:f>
              <c:numCache>
                <c:formatCode>0.00</c:formatCode>
                <c:ptCount val="3"/>
                <c:pt idx="0">
                  <c:v>33.1</c:v>
                </c:pt>
                <c:pt idx="1">
                  <c:v>35.799999999999997</c:v>
                </c:pt>
                <c:pt idx="2" formatCode="0.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72-4806-9967-1DFDED55796C}"/>
            </c:ext>
          </c:extLst>
        </c:ser>
        <c:ser>
          <c:idx val="4"/>
          <c:order val="4"/>
          <c:tx>
            <c:strRef>
              <c:f>PLA!$O$35</c:f>
              <c:strCache>
                <c:ptCount val="1"/>
                <c:pt idx="0">
                  <c:v>Tøyning uke 12 (%)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PLA!$J$36:$J$38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PLA!$O$36:$O$38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72-4806-9967-1DFDED557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9905568"/>
        <c:axId val="849907728"/>
      </c:lineChart>
      <c:catAx>
        <c:axId val="849905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Temperatur (°C)  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849907728"/>
        <c:crosses val="autoZero"/>
        <c:auto val="1"/>
        <c:lblAlgn val="ctr"/>
        <c:lblOffset val="100"/>
        <c:noMultiLvlLbl val="0"/>
      </c:catAx>
      <c:valAx>
        <c:axId val="84990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Tøyning (%) 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nb-NO"/>
              </a:p>
            </c:rich>
          </c:tx>
          <c:layout>
            <c:manualLayout>
              <c:xMode val="edge"/>
              <c:yMode val="edge"/>
              <c:x val="2.2222222222222223E-2"/>
              <c:y val="0.324934018664333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84990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E-modul vs. temperatur  </a:t>
            </a:r>
            <a:r>
              <a:rPr lang="nb-NO" baseline="0"/>
              <a:t> </a:t>
            </a: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0.14361778346281948"/>
          <c:y val="0.16153519932145891"/>
          <c:w val="0.82975105808178773"/>
          <c:h val="0.55772508398282272"/>
        </c:manualLayout>
      </c:layout>
      <c:lineChart>
        <c:grouping val="standard"/>
        <c:varyColors val="0"/>
        <c:ser>
          <c:idx val="0"/>
          <c:order val="0"/>
          <c:tx>
            <c:strRef>
              <c:f>PETG!$C$4</c:f>
              <c:strCache>
                <c:ptCount val="1"/>
                <c:pt idx="0">
                  <c:v>E-modul uke 0 (MPa)</c:v>
                </c:pt>
              </c:strCache>
            </c:strRef>
          </c:tx>
          <c:spPr>
            <a:ln w="889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8890" cap="rnd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C801-4B77-B5CE-46EC1F39F000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8890" cap="rnd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C801-4B77-B5CE-46EC1F39F000}"/>
              </c:ext>
            </c:extLst>
          </c:dPt>
          <c:errBars>
            <c:errDir val="y"/>
            <c:errBarType val="both"/>
            <c:errValType val="cust"/>
            <c:noEndCap val="0"/>
            <c:plus>
              <c:numRef>
                <c:f>PETG!$C$10:$C$12</c:f>
                <c:numCache>
                  <c:formatCode>General</c:formatCode>
                  <c:ptCount val="3"/>
                  <c:pt idx="0">
                    <c:v>7.45</c:v>
                  </c:pt>
                  <c:pt idx="1">
                    <c:v>7.45</c:v>
                  </c:pt>
                  <c:pt idx="2">
                    <c:v>7.45</c:v>
                  </c:pt>
                </c:numCache>
              </c:numRef>
            </c:plus>
            <c:minus>
              <c:numRef>
                <c:f>PETG!$C$10:$C$12</c:f>
                <c:numCache>
                  <c:formatCode>General</c:formatCode>
                  <c:ptCount val="3"/>
                  <c:pt idx="0">
                    <c:v>7.45</c:v>
                  </c:pt>
                  <c:pt idx="1">
                    <c:v>7.45</c:v>
                  </c:pt>
                  <c:pt idx="2">
                    <c:v>7.45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PETG!$B$5:$B$7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PETG!$C$5:$C$7</c:f>
              <c:numCache>
                <c:formatCode>0.00</c:formatCode>
                <c:ptCount val="3"/>
                <c:pt idx="0">
                  <c:v>862</c:v>
                </c:pt>
                <c:pt idx="1">
                  <c:v>862</c:v>
                </c:pt>
                <c:pt idx="2">
                  <c:v>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1-4B77-B5CE-46EC1F39F000}"/>
            </c:ext>
          </c:extLst>
        </c:ser>
        <c:ser>
          <c:idx val="1"/>
          <c:order val="1"/>
          <c:tx>
            <c:strRef>
              <c:f>PETG!$D$4</c:f>
              <c:strCache>
                <c:ptCount val="1"/>
                <c:pt idx="0">
                  <c:v>E-modul uke 3 (MPa)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PETG!$D$10:$D$12</c:f>
                <c:numCache>
                  <c:formatCode>General</c:formatCode>
                  <c:ptCount val="3"/>
                  <c:pt idx="0">
                    <c:v>5.75</c:v>
                  </c:pt>
                  <c:pt idx="1">
                    <c:v>14.25</c:v>
                  </c:pt>
                  <c:pt idx="2">
                    <c:v>88</c:v>
                  </c:pt>
                </c:numCache>
              </c:numRef>
            </c:plus>
            <c:minus>
              <c:numRef>
                <c:f>PETG!$D$10:$D$12</c:f>
                <c:numCache>
                  <c:formatCode>General</c:formatCode>
                  <c:ptCount val="3"/>
                  <c:pt idx="0">
                    <c:v>5.75</c:v>
                  </c:pt>
                  <c:pt idx="1">
                    <c:v>14.25</c:v>
                  </c:pt>
                  <c:pt idx="2">
                    <c:v>88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PETG!$B$5:$B$7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PETG!$D$5:$D$7</c:f>
              <c:numCache>
                <c:formatCode>0.00</c:formatCode>
                <c:ptCount val="3"/>
                <c:pt idx="0">
                  <c:v>771</c:v>
                </c:pt>
                <c:pt idx="1">
                  <c:v>776</c:v>
                </c:pt>
                <c:pt idx="2">
                  <c:v>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1-4B77-B5CE-46EC1F39F000}"/>
            </c:ext>
          </c:extLst>
        </c:ser>
        <c:ser>
          <c:idx val="2"/>
          <c:order val="2"/>
          <c:tx>
            <c:strRef>
              <c:f>PETG!$E$4</c:f>
              <c:strCache>
                <c:ptCount val="1"/>
                <c:pt idx="0">
                  <c:v>E-modul uke 6 (MPa)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PETG!$E$10:$E$12</c:f>
                <c:numCache>
                  <c:formatCode>General</c:formatCode>
                  <c:ptCount val="3"/>
                  <c:pt idx="0">
                    <c:v>61.5</c:v>
                  </c:pt>
                  <c:pt idx="1">
                    <c:v>9.4499999999999993</c:v>
                  </c:pt>
                  <c:pt idx="2">
                    <c:v>8.5500000000000007</c:v>
                  </c:pt>
                </c:numCache>
              </c:numRef>
            </c:plus>
            <c:minus>
              <c:numRef>
                <c:f>PETG!$E$10:$E$12</c:f>
                <c:numCache>
                  <c:formatCode>General</c:formatCode>
                  <c:ptCount val="3"/>
                  <c:pt idx="0">
                    <c:v>61.5</c:v>
                  </c:pt>
                  <c:pt idx="1">
                    <c:v>9.4499999999999993</c:v>
                  </c:pt>
                  <c:pt idx="2">
                    <c:v>8.5500000000000007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PETG!$B$5:$B$7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PETG!$E$5:$E$7</c:f>
              <c:numCache>
                <c:formatCode>0.00</c:formatCode>
                <c:ptCount val="3"/>
                <c:pt idx="0">
                  <c:v>895</c:v>
                </c:pt>
                <c:pt idx="1">
                  <c:v>825</c:v>
                </c:pt>
                <c:pt idx="2">
                  <c:v>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801-4B77-B5CE-46EC1F39F000}"/>
            </c:ext>
          </c:extLst>
        </c:ser>
        <c:ser>
          <c:idx val="3"/>
          <c:order val="3"/>
          <c:tx>
            <c:strRef>
              <c:f>PETG!$F$4</c:f>
              <c:strCache>
                <c:ptCount val="1"/>
                <c:pt idx="0">
                  <c:v>E-modul uke 9 (MPa)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PETG!$F$10:$F$12</c:f>
                <c:numCache>
                  <c:formatCode>General</c:formatCode>
                  <c:ptCount val="3"/>
                  <c:pt idx="0">
                    <c:v>12.35</c:v>
                  </c:pt>
                  <c:pt idx="1">
                    <c:v>16.05</c:v>
                  </c:pt>
                  <c:pt idx="2">
                    <c:v>102</c:v>
                  </c:pt>
                </c:numCache>
              </c:numRef>
            </c:plus>
            <c:minus>
              <c:numRef>
                <c:f>PETG!$F$10:$F$12</c:f>
                <c:numCache>
                  <c:formatCode>General</c:formatCode>
                  <c:ptCount val="3"/>
                  <c:pt idx="0">
                    <c:v>12.35</c:v>
                  </c:pt>
                  <c:pt idx="1">
                    <c:v>16.05</c:v>
                  </c:pt>
                  <c:pt idx="2">
                    <c:v>102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PETG!$B$5:$B$7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PETG!$F$5:$F$7</c:f>
              <c:numCache>
                <c:formatCode>0.00</c:formatCode>
                <c:ptCount val="3"/>
                <c:pt idx="0">
                  <c:v>827</c:v>
                </c:pt>
                <c:pt idx="1">
                  <c:v>804</c:v>
                </c:pt>
                <c:pt idx="2">
                  <c:v>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801-4B77-B5CE-46EC1F39F000}"/>
            </c:ext>
          </c:extLst>
        </c:ser>
        <c:ser>
          <c:idx val="4"/>
          <c:order val="4"/>
          <c:tx>
            <c:strRef>
              <c:f>PETG!$G$4</c:f>
              <c:strCache>
                <c:ptCount val="1"/>
                <c:pt idx="0">
                  <c:v>E-modul uke 12 (MPa)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PETG!$B$5:$B$7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PETG!$G$5:$G$7</c:f>
              <c:numCache>
                <c:formatCode>0.00</c:formatCode>
                <c:ptCount val="3"/>
                <c:pt idx="0">
                  <c:v>485</c:v>
                </c:pt>
                <c:pt idx="1">
                  <c:v>526</c:v>
                </c:pt>
                <c:pt idx="2">
                  <c:v>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801-4B77-B5CE-46EC1F39F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5379384"/>
        <c:axId val="855380104"/>
      </c:lineChart>
      <c:catAx>
        <c:axId val="855379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Temperatur</a:t>
                </a:r>
                <a:r>
                  <a:rPr lang="nb-NO" baseline="0"/>
                  <a:t> </a:t>
                </a:r>
                <a:endParaRPr lang="nb-N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855380104"/>
        <c:crosses val="autoZero"/>
        <c:auto val="1"/>
        <c:lblAlgn val="ctr"/>
        <c:lblOffset val="100"/>
        <c:noMultiLvlLbl val="0"/>
      </c:catAx>
      <c:valAx>
        <c:axId val="855380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E-modul (MPa)</a:t>
                </a:r>
                <a:r>
                  <a:rPr lang="nb-NO" baseline="0"/>
                  <a:t> </a:t>
                </a:r>
                <a:endParaRPr lang="nb-N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855379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Tøyning vs. temperatur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PETG!$C$33</c:f>
              <c:strCache>
                <c:ptCount val="1"/>
                <c:pt idx="0">
                  <c:v>Tøyning uke 0 (%)</c:v>
                </c:pt>
              </c:strCache>
            </c:strRef>
          </c:tx>
          <c:spPr>
            <a:ln w="889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PETG!$C$39:$C$41</c:f>
                <c:numCache>
                  <c:formatCode>General</c:formatCode>
                  <c:ptCount val="3"/>
                  <c:pt idx="0">
                    <c:v>0.09</c:v>
                  </c:pt>
                  <c:pt idx="1">
                    <c:v>0.09</c:v>
                  </c:pt>
                  <c:pt idx="2">
                    <c:v>0.09</c:v>
                  </c:pt>
                </c:numCache>
              </c:numRef>
            </c:plus>
            <c:minus>
              <c:numRef>
                <c:f>PETG!$C$39:$C$41</c:f>
                <c:numCache>
                  <c:formatCode>General</c:formatCode>
                  <c:ptCount val="3"/>
                  <c:pt idx="0">
                    <c:v>0.09</c:v>
                  </c:pt>
                  <c:pt idx="1">
                    <c:v>0.09</c:v>
                  </c:pt>
                  <c:pt idx="2">
                    <c:v>0.09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PETG!$B$34:$B$36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PETG!$C$34:$C$36</c:f>
              <c:numCache>
                <c:formatCode>0.00</c:formatCode>
                <c:ptCount val="3"/>
                <c:pt idx="0">
                  <c:v>11.2</c:v>
                </c:pt>
                <c:pt idx="1">
                  <c:v>11.2</c:v>
                </c:pt>
                <c:pt idx="2">
                  <c:v>11.2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3D-426E-9D14-EAB3211C8DF1}"/>
            </c:ext>
          </c:extLst>
        </c:ser>
        <c:ser>
          <c:idx val="1"/>
          <c:order val="1"/>
          <c:tx>
            <c:strRef>
              <c:f>PETG!$D$33</c:f>
              <c:strCache>
                <c:ptCount val="1"/>
                <c:pt idx="0">
                  <c:v>Tøyning uke 3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PETG!$B$34:$B$36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PETG!$D$34:$D$36</c:f>
              <c:numCache>
                <c:formatCode>0.00</c:formatCode>
                <c:ptCount val="3"/>
                <c:pt idx="0">
                  <c:v>16.8</c:v>
                </c:pt>
                <c:pt idx="1">
                  <c:v>12.5</c:v>
                </c:pt>
                <c:pt idx="2">
                  <c:v>68.099999999999994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93D-426E-9D14-EAB3211C8DF1}"/>
            </c:ext>
          </c:extLst>
        </c:ser>
        <c:ser>
          <c:idx val="2"/>
          <c:order val="2"/>
          <c:tx>
            <c:strRef>
              <c:f>PETG!$E$33</c:f>
              <c:strCache>
                <c:ptCount val="1"/>
                <c:pt idx="0">
                  <c:v>Tøyning uke 6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PETG!$E$39:$E$41</c:f>
                <c:numCache>
                  <c:formatCode>General</c:formatCode>
                  <c:ptCount val="3"/>
                  <c:pt idx="0">
                    <c:v>23.55</c:v>
                  </c:pt>
                  <c:pt idx="1">
                    <c:v>0.15</c:v>
                  </c:pt>
                  <c:pt idx="2">
                    <c:v>24.75</c:v>
                  </c:pt>
                </c:numCache>
              </c:numRef>
            </c:plus>
            <c:minus>
              <c:numRef>
                <c:f>PETG!$E$39:$E$41</c:f>
                <c:numCache>
                  <c:formatCode>General</c:formatCode>
                  <c:ptCount val="3"/>
                  <c:pt idx="0">
                    <c:v>23.55</c:v>
                  </c:pt>
                  <c:pt idx="1">
                    <c:v>0.15</c:v>
                  </c:pt>
                  <c:pt idx="2">
                    <c:v>24.75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PETG!$B$34:$B$36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PETG!$E$34:$E$36</c:f>
              <c:numCache>
                <c:formatCode>0.00</c:formatCode>
                <c:ptCount val="3"/>
                <c:pt idx="0">
                  <c:v>43.1</c:v>
                </c:pt>
                <c:pt idx="1">
                  <c:v>11.3</c:v>
                </c:pt>
                <c:pt idx="2">
                  <c:v>34.6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93D-426E-9D14-EAB3211C8DF1}"/>
            </c:ext>
          </c:extLst>
        </c:ser>
        <c:ser>
          <c:idx val="3"/>
          <c:order val="3"/>
          <c:tx>
            <c:strRef>
              <c:f>PETG!$F$33</c:f>
              <c:strCache>
                <c:ptCount val="1"/>
                <c:pt idx="0">
                  <c:v>Tøyning uke 9 (%)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PETG!$F$39:$F$41</c:f>
                <c:numCache>
                  <c:formatCode>General</c:formatCode>
                  <c:ptCount val="3"/>
                  <c:pt idx="0">
                    <c:v>0.45</c:v>
                  </c:pt>
                  <c:pt idx="1">
                    <c:v>0.15</c:v>
                  </c:pt>
                  <c:pt idx="2">
                    <c:v>5.5</c:v>
                  </c:pt>
                </c:numCache>
              </c:numRef>
            </c:plus>
            <c:minus>
              <c:numRef>
                <c:f>PETG!$F$39:$F$41</c:f>
                <c:numCache>
                  <c:formatCode>General</c:formatCode>
                  <c:ptCount val="3"/>
                  <c:pt idx="0">
                    <c:v>0.45</c:v>
                  </c:pt>
                  <c:pt idx="1">
                    <c:v>0.15</c:v>
                  </c:pt>
                  <c:pt idx="2">
                    <c:v>5.5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PETG!$B$34:$B$36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PETG!$F$34:$F$36</c:f>
              <c:numCache>
                <c:formatCode>0.00</c:formatCode>
                <c:ptCount val="3"/>
                <c:pt idx="0">
                  <c:v>12.7</c:v>
                </c:pt>
                <c:pt idx="1">
                  <c:v>13.3</c:v>
                </c:pt>
                <c:pt idx="2">
                  <c:v>19.3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93D-426E-9D14-EAB3211C8DF1}"/>
            </c:ext>
          </c:extLst>
        </c:ser>
        <c:ser>
          <c:idx val="4"/>
          <c:order val="4"/>
          <c:tx>
            <c:strRef>
              <c:f>PETG!$G$33</c:f>
              <c:strCache>
                <c:ptCount val="1"/>
                <c:pt idx="0">
                  <c:v>Tøyning uke 12 (%)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PETG!$B$34:$B$36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PETG!$G$34:$G$36</c:f>
              <c:numCache>
                <c:formatCode>General</c:formatCode>
                <c:ptCount val="3"/>
                <c:pt idx="0" formatCode="0.00">
                  <c:v>21.9</c:v>
                </c:pt>
                <c:pt idx="1">
                  <c:v>8.9600000000000009</c:v>
                </c:pt>
                <c:pt idx="2" formatCode="0.00">
                  <c:v>17.899999999999999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93D-426E-9D14-EAB3211C8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8724768"/>
        <c:axId val="958724048"/>
      </c:lineChart>
      <c:catAx>
        <c:axId val="958724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Temperatur (°C)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958724048"/>
        <c:crosses val="autoZero"/>
        <c:auto val="1"/>
        <c:lblAlgn val="ctr"/>
        <c:lblOffset val="100"/>
        <c:noMultiLvlLbl val="0"/>
      </c:catAx>
      <c:valAx>
        <c:axId val="95872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Tøyning (%)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nb-N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958724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E-modul vs. temperatur</a:t>
            </a:r>
            <a:r>
              <a:rPr lang="nb-NO" baseline="0"/>
              <a:t> </a:t>
            </a: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PETG!$K$4</c:f>
              <c:strCache>
                <c:ptCount val="1"/>
                <c:pt idx="0">
                  <c:v>E-modul uke 0 (MPa)</c:v>
                </c:pt>
              </c:strCache>
            </c:strRef>
          </c:tx>
          <c:spPr>
            <a:ln w="889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PETG!$K$10:$K$12</c:f>
                <c:numCache>
                  <c:formatCode>General</c:formatCode>
                  <c:ptCount val="3"/>
                  <c:pt idx="0">
                    <c:v>7.45</c:v>
                  </c:pt>
                  <c:pt idx="1">
                    <c:v>7.45</c:v>
                  </c:pt>
                  <c:pt idx="2">
                    <c:v>7.45</c:v>
                  </c:pt>
                </c:numCache>
              </c:numRef>
            </c:plus>
            <c:minus>
              <c:numRef>
                <c:f>PETG!$K$10:$K$12</c:f>
                <c:numCache>
                  <c:formatCode>General</c:formatCode>
                  <c:ptCount val="3"/>
                  <c:pt idx="0">
                    <c:v>7.45</c:v>
                  </c:pt>
                  <c:pt idx="1">
                    <c:v>7.45</c:v>
                  </c:pt>
                  <c:pt idx="2">
                    <c:v>7.45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PETG!$J$5:$J$7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PETG!$K$5:$K$7</c:f>
              <c:numCache>
                <c:formatCode>0.00</c:formatCode>
                <c:ptCount val="3"/>
                <c:pt idx="0">
                  <c:v>862</c:v>
                </c:pt>
                <c:pt idx="1">
                  <c:v>862</c:v>
                </c:pt>
                <c:pt idx="2">
                  <c:v>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7E-4562-9D02-7A395006809F}"/>
            </c:ext>
          </c:extLst>
        </c:ser>
        <c:ser>
          <c:idx val="1"/>
          <c:order val="1"/>
          <c:tx>
            <c:strRef>
              <c:f>PETG!$L$4</c:f>
              <c:strCache>
                <c:ptCount val="1"/>
                <c:pt idx="0">
                  <c:v>E-modul uke 3 (MPa)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PETG!$L$10:$L$12</c:f>
                <c:numCache>
                  <c:formatCode>General</c:formatCode>
                  <c:ptCount val="3"/>
                  <c:pt idx="0">
                    <c:v>63</c:v>
                  </c:pt>
                  <c:pt idx="1">
                    <c:v>75</c:v>
                  </c:pt>
                  <c:pt idx="2">
                    <c:v>92.5</c:v>
                  </c:pt>
                </c:numCache>
              </c:numRef>
            </c:plus>
            <c:minus>
              <c:numRef>
                <c:f>PETG!$L$10:$L$12</c:f>
                <c:numCache>
                  <c:formatCode>General</c:formatCode>
                  <c:ptCount val="3"/>
                  <c:pt idx="0">
                    <c:v>63</c:v>
                  </c:pt>
                  <c:pt idx="1">
                    <c:v>75</c:v>
                  </c:pt>
                  <c:pt idx="2">
                    <c:v>92.5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PETG!$J$5:$J$7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PETG!$L$5:$L$7</c:f>
              <c:numCache>
                <c:formatCode>0.00</c:formatCode>
                <c:ptCount val="3"/>
                <c:pt idx="0">
                  <c:v>645</c:v>
                </c:pt>
                <c:pt idx="1">
                  <c:v>565</c:v>
                </c:pt>
                <c:pt idx="2">
                  <c:v>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77E-4562-9D02-7A395006809F}"/>
            </c:ext>
          </c:extLst>
        </c:ser>
        <c:ser>
          <c:idx val="2"/>
          <c:order val="2"/>
          <c:tx>
            <c:strRef>
              <c:f>PETG!$M$4</c:f>
              <c:strCache>
                <c:ptCount val="1"/>
                <c:pt idx="0">
                  <c:v>E-modul uke 6 (MPa)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PETG!$M$10:$M$12</c:f>
                <c:numCache>
                  <c:formatCode>General</c:formatCode>
                  <c:ptCount val="3"/>
                  <c:pt idx="0">
                    <c:v>3.96</c:v>
                  </c:pt>
                  <c:pt idx="1">
                    <c:v>26.85</c:v>
                  </c:pt>
                  <c:pt idx="2">
                    <c:v>10.1</c:v>
                  </c:pt>
                </c:numCache>
              </c:numRef>
            </c:plus>
            <c:minus>
              <c:numRef>
                <c:f>PETG!$M$10:$M$12</c:f>
                <c:numCache>
                  <c:formatCode>General</c:formatCode>
                  <c:ptCount val="3"/>
                  <c:pt idx="0">
                    <c:v>3.96</c:v>
                  </c:pt>
                  <c:pt idx="1">
                    <c:v>26.85</c:v>
                  </c:pt>
                  <c:pt idx="2">
                    <c:v>10.1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PETG!$J$5:$J$7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PETG!$M$5:$M$7</c:f>
              <c:numCache>
                <c:formatCode>0.00</c:formatCode>
                <c:ptCount val="3"/>
                <c:pt idx="0">
                  <c:v>820</c:v>
                </c:pt>
                <c:pt idx="1">
                  <c:v>790</c:v>
                </c:pt>
                <c:pt idx="2">
                  <c:v>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77E-4562-9D02-7A395006809F}"/>
            </c:ext>
          </c:extLst>
        </c:ser>
        <c:ser>
          <c:idx val="3"/>
          <c:order val="3"/>
          <c:tx>
            <c:strRef>
              <c:f>PETG!$N$4</c:f>
              <c:strCache>
                <c:ptCount val="1"/>
                <c:pt idx="0">
                  <c:v>E-modul uke 9 (MPa)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PETG!$N$10:$N$12</c:f>
                <c:numCache>
                  <c:formatCode>General</c:formatCode>
                  <c:ptCount val="3"/>
                  <c:pt idx="0">
                    <c:v>10.85</c:v>
                  </c:pt>
                  <c:pt idx="1">
                    <c:v>73</c:v>
                  </c:pt>
                  <c:pt idx="2">
                    <c:v>11.4</c:v>
                  </c:pt>
                </c:numCache>
              </c:numRef>
            </c:plus>
            <c:minus>
              <c:numRef>
                <c:f>PETG!$N$10:$N$12</c:f>
                <c:numCache>
                  <c:formatCode>General</c:formatCode>
                  <c:ptCount val="3"/>
                  <c:pt idx="0">
                    <c:v>10.85</c:v>
                  </c:pt>
                  <c:pt idx="1">
                    <c:v>73</c:v>
                  </c:pt>
                  <c:pt idx="2">
                    <c:v>11.4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PETG!$J$5:$J$7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PETG!$N$5:$N$7</c:f>
              <c:numCache>
                <c:formatCode>0.00</c:formatCode>
                <c:ptCount val="3"/>
                <c:pt idx="0">
                  <c:v>863</c:v>
                </c:pt>
                <c:pt idx="1">
                  <c:v>913</c:v>
                </c:pt>
                <c:pt idx="2">
                  <c:v>830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77E-4562-9D02-7A395006809F}"/>
            </c:ext>
          </c:extLst>
        </c:ser>
        <c:ser>
          <c:idx val="4"/>
          <c:order val="4"/>
          <c:tx>
            <c:strRef>
              <c:f>PETG!$O$4</c:f>
              <c:strCache>
                <c:ptCount val="1"/>
                <c:pt idx="0">
                  <c:v>E-modul uke 12 (MPa)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PETG!$J$5:$J$7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PETG!$O$5:$O$7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77E-4562-9D02-7A3950068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7288368"/>
        <c:axId val="957295568"/>
      </c:lineChart>
      <c:catAx>
        <c:axId val="957288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Temperatur (°C)</a:t>
                </a:r>
                <a:r>
                  <a:rPr lang="nb-NO" baseline="0"/>
                  <a:t> </a:t>
                </a:r>
                <a:endParaRPr lang="nb-NO"/>
              </a:p>
            </c:rich>
          </c:tx>
          <c:layout>
            <c:manualLayout>
              <c:xMode val="edge"/>
              <c:yMode val="edge"/>
              <c:x val="0.4984863059354136"/>
              <c:y val="0.711802926042695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957295568"/>
        <c:crosses val="autoZero"/>
        <c:auto val="1"/>
        <c:lblAlgn val="ctr"/>
        <c:lblOffset val="100"/>
        <c:noMultiLvlLbl val="0"/>
      </c:catAx>
      <c:valAx>
        <c:axId val="95729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E-modul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95728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Tøyning vs. temperatur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PETG!$K$33</c:f>
              <c:strCache>
                <c:ptCount val="1"/>
                <c:pt idx="0">
                  <c:v>Tøyning uke 0 (%)</c:v>
                </c:pt>
              </c:strCache>
            </c:strRef>
          </c:tx>
          <c:spPr>
            <a:ln w="889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PETG!$K$39:$K$41</c:f>
                <c:numCache>
                  <c:formatCode>General</c:formatCode>
                  <c:ptCount val="3"/>
                  <c:pt idx="0">
                    <c:v>0.09</c:v>
                  </c:pt>
                  <c:pt idx="1">
                    <c:v>0.09</c:v>
                  </c:pt>
                  <c:pt idx="2">
                    <c:v>0.09</c:v>
                  </c:pt>
                </c:numCache>
              </c:numRef>
            </c:plus>
            <c:minus>
              <c:numRef>
                <c:f>PETG!$K$39:$K$41</c:f>
                <c:numCache>
                  <c:formatCode>General</c:formatCode>
                  <c:ptCount val="3"/>
                  <c:pt idx="0">
                    <c:v>0.09</c:v>
                  </c:pt>
                  <c:pt idx="1">
                    <c:v>0.09</c:v>
                  </c:pt>
                  <c:pt idx="2">
                    <c:v>0.09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PETG!$J$34:$J$36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PETG!$K$34:$K$36</c:f>
              <c:numCache>
                <c:formatCode>0.00</c:formatCode>
                <c:ptCount val="3"/>
                <c:pt idx="0">
                  <c:v>11.2</c:v>
                </c:pt>
                <c:pt idx="1">
                  <c:v>11.2</c:v>
                </c:pt>
                <c:pt idx="2">
                  <c:v>11.2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0B-493F-B965-C3C85C24A782}"/>
            </c:ext>
          </c:extLst>
        </c:ser>
        <c:ser>
          <c:idx val="1"/>
          <c:order val="1"/>
          <c:tx>
            <c:strRef>
              <c:f>PETG!$L$33</c:f>
              <c:strCache>
                <c:ptCount val="1"/>
                <c:pt idx="0">
                  <c:v>Tøyning uke 3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PETG!$L$39:$L$41</c:f>
                <c:numCache>
                  <c:formatCode>General</c:formatCode>
                  <c:ptCount val="3"/>
                  <c:pt idx="0">
                    <c:v>0.3</c:v>
                  </c:pt>
                  <c:pt idx="1">
                    <c:v>0.27</c:v>
                  </c:pt>
                  <c:pt idx="2">
                    <c:v>8.1999999999999993</c:v>
                  </c:pt>
                </c:numCache>
              </c:numRef>
            </c:plus>
            <c:minus>
              <c:numRef>
                <c:f>PETG!$L$39:$L$41</c:f>
                <c:numCache>
                  <c:formatCode>General</c:formatCode>
                  <c:ptCount val="3"/>
                  <c:pt idx="0">
                    <c:v>0.3</c:v>
                  </c:pt>
                  <c:pt idx="1">
                    <c:v>0.27</c:v>
                  </c:pt>
                  <c:pt idx="2">
                    <c:v>8.1999999999999993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PETG!$J$34:$J$36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PETG!$L$34:$L$36</c:f>
              <c:numCache>
                <c:formatCode>0.00</c:formatCode>
                <c:ptCount val="3"/>
                <c:pt idx="0">
                  <c:v>13.3</c:v>
                </c:pt>
                <c:pt idx="1">
                  <c:v>13.3</c:v>
                </c:pt>
                <c:pt idx="2">
                  <c:v>25.7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0B-493F-B965-C3C85C24A782}"/>
            </c:ext>
          </c:extLst>
        </c:ser>
        <c:ser>
          <c:idx val="2"/>
          <c:order val="2"/>
          <c:tx>
            <c:strRef>
              <c:f>PETG!$M$33</c:f>
              <c:strCache>
                <c:ptCount val="1"/>
                <c:pt idx="0">
                  <c:v>Tøyning uke 6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PETG!$M$39:$M$41</c:f>
                <c:numCache>
                  <c:formatCode>General</c:formatCode>
                  <c:ptCount val="3"/>
                  <c:pt idx="0">
                    <c:v>0.42</c:v>
                  </c:pt>
                  <c:pt idx="1">
                    <c:v>0.23</c:v>
                  </c:pt>
                  <c:pt idx="2">
                    <c:v>0.45</c:v>
                  </c:pt>
                </c:numCache>
              </c:numRef>
            </c:plus>
            <c:minus>
              <c:numRef>
                <c:f>PETG!$M$39:$M$41</c:f>
                <c:numCache>
                  <c:formatCode>General</c:formatCode>
                  <c:ptCount val="3"/>
                  <c:pt idx="0">
                    <c:v>0.42</c:v>
                  </c:pt>
                  <c:pt idx="1">
                    <c:v>0.23</c:v>
                  </c:pt>
                  <c:pt idx="2">
                    <c:v>0.45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PETG!$J$34:$J$36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PETG!$M$34:$M$36</c:f>
              <c:numCache>
                <c:formatCode>0.00</c:formatCode>
                <c:ptCount val="3"/>
                <c:pt idx="0">
                  <c:v>11.9</c:v>
                </c:pt>
                <c:pt idx="1">
                  <c:v>13.1</c:v>
                </c:pt>
                <c:pt idx="2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40B-493F-B965-C3C85C24A782}"/>
            </c:ext>
          </c:extLst>
        </c:ser>
        <c:ser>
          <c:idx val="3"/>
          <c:order val="3"/>
          <c:tx>
            <c:strRef>
              <c:f>PETG!$N$33</c:f>
              <c:strCache>
                <c:ptCount val="1"/>
                <c:pt idx="0">
                  <c:v>Tøyning uke 9 (%)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PETG!$N$39:$N$41</c:f>
                <c:numCache>
                  <c:formatCode>General</c:formatCode>
                  <c:ptCount val="3"/>
                  <c:pt idx="0">
                    <c:v>0.32</c:v>
                  </c:pt>
                  <c:pt idx="1">
                    <c:v>0.3</c:v>
                  </c:pt>
                  <c:pt idx="2">
                    <c:v>4.83</c:v>
                  </c:pt>
                </c:numCache>
              </c:numRef>
            </c:plus>
            <c:minus>
              <c:numRef>
                <c:f>PETG!$N$39:$N$41</c:f>
                <c:numCache>
                  <c:formatCode>General</c:formatCode>
                  <c:ptCount val="3"/>
                  <c:pt idx="0">
                    <c:v>0.32</c:v>
                  </c:pt>
                  <c:pt idx="1">
                    <c:v>0.3</c:v>
                  </c:pt>
                  <c:pt idx="2">
                    <c:v>4.83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PETG!$J$34:$J$36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PETG!$N$34:$N$36</c:f>
              <c:numCache>
                <c:formatCode>0.00</c:formatCode>
                <c:ptCount val="3"/>
                <c:pt idx="0">
                  <c:v>12.4</c:v>
                </c:pt>
                <c:pt idx="1">
                  <c:v>12.3</c:v>
                </c:pt>
                <c:pt idx="2" formatCode="0.0">
                  <c:v>16.3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40B-493F-B965-C3C85C24A782}"/>
            </c:ext>
          </c:extLst>
        </c:ser>
        <c:ser>
          <c:idx val="4"/>
          <c:order val="4"/>
          <c:tx>
            <c:strRef>
              <c:f>PETG!$O$33</c:f>
              <c:strCache>
                <c:ptCount val="1"/>
                <c:pt idx="0">
                  <c:v>Tøyning uke 12 (%)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PETG!$J$34:$J$36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PETG!$O$34:$O$36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40B-493F-B965-C3C85C24A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8202976"/>
        <c:axId val="988203696"/>
      </c:lineChart>
      <c:catAx>
        <c:axId val="988202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Temperatur </a:t>
                </a:r>
                <a:r>
                  <a:rPr lang="nb-N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(°C) 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r>
                  <a:rPr lang="nb-NO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988203696"/>
        <c:crosses val="autoZero"/>
        <c:auto val="1"/>
        <c:lblAlgn val="ctr"/>
        <c:lblOffset val="100"/>
        <c:noMultiLvlLbl val="0"/>
      </c:catAx>
      <c:valAx>
        <c:axId val="98820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Tøyning (%)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nb-N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98820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E-modul</a:t>
            </a:r>
            <a:r>
              <a:rPr lang="nb-NO" baseline="0"/>
              <a:t> vs. temperatur </a:t>
            </a: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ASA!$C$4</c:f>
              <c:strCache>
                <c:ptCount val="1"/>
                <c:pt idx="0">
                  <c:v>E-modul uke 0 (MPa)</c:v>
                </c:pt>
              </c:strCache>
            </c:strRef>
          </c:tx>
          <c:spPr>
            <a:ln w="8890" cap="rnd">
              <a:solidFill>
                <a:schemeClr val="accent1"/>
              </a:solidFill>
              <a:prstDash val="dash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ASA!$C$10:$C$12</c:f>
                <c:numCache>
                  <c:formatCode>General</c:formatCode>
                  <c:ptCount val="3"/>
                  <c:pt idx="0">
                    <c:v>38.299999999999997</c:v>
                  </c:pt>
                  <c:pt idx="1">
                    <c:v>38.299999999999997</c:v>
                  </c:pt>
                  <c:pt idx="2">
                    <c:v>38.299999999999997</c:v>
                  </c:pt>
                </c:numCache>
              </c:numRef>
            </c:plus>
            <c:minus>
              <c:numRef>
                <c:f>ASA!$C$10:$C$12</c:f>
                <c:numCache>
                  <c:formatCode>General</c:formatCode>
                  <c:ptCount val="3"/>
                  <c:pt idx="0">
                    <c:v>38.299999999999997</c:v>
                  </c:pt>
                  <c:pt idx="1">
                    <c:v>38.299999999999997</c:v>
                  </c:pt>
                  <c:pt idx="2">
                    <c:v>38.299999999999997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ASA!$B$5:$B$7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ASA!$C$5:$C$7</c:f>
              <c:numCache>
                <c:formatCode>0.00</c:formatCode>
                <c:ptCount val="3"/>
                <c:pt idx="0">
                  <c:v>1030</c:v>
                </c:pt>
                <c:pt idx="1">
                  <c:v>1030</c:v>
                </c:pt>
                <c:pt idx="2">
                  <c:v>1030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CC-4623-BE56-2683F77B7E4E}"/>
            </c:ext>
          </c:extLst>
        </c:ser>
        <c:ser>
          <c:idx val="1"/>
          <c:order val="1"/>
          <c:tx>
            <c:strRef>
              <c:f>ASA!$D$4</c:f>
              <c:strCache>
                <c:ptCount val="1"/>
                <c:pt idx="0">
                  <c:v>E-modul uke 3 (MPa)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ASA!$D$10:$D$12</c:f>
                <c:numCache>
                  <c:formatCode>General</c:formatCode>
                  <c:ptCount val="3"/>
                  <c:pt idx="0">
                    <c:v>17.2</c:v>
                  </c:pt>
                  <c:pt idx="1">
                    <c:v>40.65</c:v>
                  </c:pt>
                  <c:pt idx="2">
                    <c:v>12.3</c:v>
                  </c:pt>
                </c:numCache>
              </c:numRef>
            </c:plus>
            <c:minus>
              <c:numRef>
                <c:f>ASA!$D$10:$D$12</c:f>
                <c:numCache>
                  <c:formatCode>General</c:formatCode>
                  <c:ptCount val="3"/>
                  <c:pt idx="0">
                    <c:v>17.2</c:v>
                  </c:pt>
                  <c:pt idx="1">
                    <c:v>40.65</c:v>
                  </c:pt>
                  <c:pt idx="2">
                    <c:v>12.3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ASA!$B$5:$B$7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ASA!$D$5:$D$7</c:f>
              <c:numCache>
                <c:formatCode>0.00</c:formatCode>
                <c:ptCount val="3"/>
                <c:pt idx="0">
                  <c:v>846</c:v>
                </c:pt>
                <c:pt idx="1">
                  <c:v>863</c:v>
                </c:pt>
                <c:pt idx="2">
                  <c:v>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FCC-4623-BE56-2683F77B7E4E}"/>
            </c:ext>
          </c:extLst>
        </c:ser>
        <c:ser>
          <c:idx val="2"/>
          <c:order val="2"/>
          <c:tx>
            <c:strRef>
              <c:f>ASA!$E$4</c:f>
              <c:strCache>
                <c:ptCount val="1"/>
                <c:pt idx="0">
                  <c:v>E-modul uke 6 (MPa)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ASA!$E$10:$E$12</c:f>
                <c:numCache>
                  <c:formatCode>General</c:formatCode>
                  <c:ptCount val="3"/>
                  <c:pt idx="0">
                    <c:v>18.399999999999999</c:v>
                  </c:pt>
                  <c:pt idx="1">
                    <c:v>16.45</c:v>
                  </c:pt>
                  <c:pt idx="2">
                    <c:v>10.5</c:v>
                  </c:pt>
                </c:numCache>
              </c:numRef>
            </c:plus>
            <c:minus>
              <c:numRef>
                <c:f>ASA!$E$10:$E$12</c:f>
                <c:numCache>
                  <c:formatCode>General</c:formatCode>
                  <c:ptCount val="3"/>
                  <c:pt idx="0">
                    <c:v>18.399999999999999</c:v>
                  </c:pt>
                  <c:pt idx="1">
                    <c:v>16.45</c:v>
                  </c:pt>
                  <c:pt idx="2">
                    <c:v>10.5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ASA!$B$5:$B$7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ASA!$E$5:$E$7</c:f>
              <c:numCache>
                <c:formatCode>0.00</c:formatCode>
                <c:ptCount val="3"/>
                <c:pt idx="0">
                  <c:v>844</c:v>
                </c:pt>
                <c:pt idx="1">
                  <c:v>912</c:v>
                </c:pt>
                <c:pt idx="2">
                  <c:v>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FCC-4623-BE56-2683F77B7E4E}"/>
            </c:ext>
          </c:extLst>
        </c:ser>
        <c:ser>
          <c:idx val="3"/>
          <c:order val="3"/>
          <c:tx>
            <c:strRef>
              <c:f>ASA!$F$4</c:f>
              <c:strCache>
                <c:ptCount val="1"/>
                <c:pt idx="0">
                  <c:v>E-modul uke 9 (MPa)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ASA!$F$10:$F$12</c:f>
                <c:numCache>
                  <c:formatCode>General</c:formatCode>
                  <c:ptCount val="3"/>
                  <c:pt idx="0">
                    <c:v>27.95</c:v>
                  </c:pt>
                  <c:pt idx="1">
                    <c:v>33.35</c:v>
                  </c:pt>
                  <c:pt idx="2">
                    <c:v>24.65</c:v>
                  </c:pt>
                </c:numCache>
              </c:numRef>
            </c:plus>
            <c:minus>
              <c:numRef>
                <c:f>ASA!$F$10:$F$12</c:f>
                <c:numCache>
                  <c:formatCode>General</c:formatCode>
                  <c:ptCount val="3"/>
                  <c:pt idx="0">
                    <c:v>27.95</c:v>
                  </c:pt>
                  <c:pt idx="1">
                    <c:v>33.35</c:v>
                  </c:pt>
                  <c:pt idx="2">
                    <c:v>24.65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ASA!$B$5:$B$7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ASA!$F$5:$F$7</c:f>
              <c:numCache>
                <c:formatCode>0.00</c:formatCode>
                <c:ptCount val="3"/>
                <c:pt idx="0">
                  <c:v>931</c:v>
                </c:pt>
                <c:pt idx="1">
                  <c:v>923</c:v>
                </c:pt>
                <c:pt idx="2" formatCode="0.0">
                  <c:v>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FCC-4623-BE56-2683F77B7E4E}"/>
            </c:ext>
          </c:extLst>
        </c:ser>
        <c:ser>
          <c:idx val="4"/>
          <c:order val="4"/>
          <c:tx>
            <c:strRef>
              <c:f>ASA!$G$4</c:f>
              <c:strCache>
                <c:ptCount val="1"/>
                <c:pt idx="0">
                  <c:v>E-modul uke 12 (MPa)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ASA!$B$5:$B$7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ASA!$G$5:$G$7</c:f>
              <c:numCache>
                <c:formatCode>0.00</c:formatCode>
                <c:ptCount val="3"/>
                <c:pt idx="0">
                  <c:v>504</c:v>
                </c:pt>
                <c:pt idx="1">
                  <c:v>618</c:v>
                </c:pt>
                <c:pt idx="2">
                  <c:v>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FCC-4623-BE56-2683F77B7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5487744"/>
        <c:axId val="855483424"/>
      </c:lineChart>
      <c:catAx>
        <c:axId val="855487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Temperatur (°C) </a:t>
                </a:r>
                <a:r>
                  <a:rPr lang="nb-NO" baseline="0"/>
                  <a:t> </a:t>
                </a:r>
                <a:endParaRPr lang="nb-N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855483424"/>
        <c:crosses val="autoZero"/>
        <c:auto val="1"/>
        <c:lblAlgn val="ctr"/>
        <c:lblOffset val="100"/>
        <c:noMultiLvlLbl val="0"/>
      </c:catAx>
      <c:valAx>
        <c:axId val="85548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E-modul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85548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Tøyning</a:t>
            </a:r>
            <a:r>
              <a:rPr lang="nb-NO" baseline="0"/>
              <a:t> vs. temperatur </a:t>
            </a: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ASA!$C$33</c:f>
              <c:strCache>
                <c:ptCount val="1"/>
                <c:pt idx="0">
                  <c:v>Tøyning uke 0 (%)</c:v>
                </c:pt>
              </c:strCache>
            </c:strRef>
          </c:tx>
          <c:spPr>
            <a:ln w="889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ASA!$C$39:$C$41</c:f>
                <c:numCache>
                  <c:formatCode>General</c:formatCode>
                  <c:ptCount val="3"/>
                  <c:pt idx="0">
                    <c:v>0.28000000000000003</c:v>
                  </c:pt>
                  <c:pt idx="1">
                    <c:v>0.28000000000000003</c:v>
                  </c:pt>
                  <c:pt idx="2">
                    <c:v>0.28000000000000003</c:v>
                  </c:pt>
                </c:numCache>
              </c:numRef>
            </c:plus>
            <c:minus>
              <c:numRef>
                <c:f>ASA!$C$39:$C$41</c:f>
                <c:numCache>
                  <c:formatCode>General</c:formatCode>
                  <c:ptCount val="3"/>
                  <c:pt idx="0">
                    <c:v>0.28000000000000003</c:v>
                  </c:pt>
                  <c:pt idx="1">
                    <c:v>0.28000000000000003</c:v>
                  </c:pt>
                  <c:pt idx="2">
                    <c:v>0.28000000000000003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ASA!$B$34:$B$36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ASA!$C$34:$C$36</c:f>
              <c:numCache>
                <c:formatCode>0.00</c:formatCode>
                <c:ptCount val="3"/>
                <c:pt idx="0">
                  <c:v>11.6</c:v>
                </c:pt>
                <c:pt idx="1">
                  <c:v>11.6</c:v>
                </c:pt>
                <c:pt idx="2">
                  <c:v>11.6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CA-4BC9-810D-B58C8BEDD921}"/>
            </c:ext>
          </c:extLst>
        </c:ser>
        <c:ser>
          <c:idx val="1"/>
          <c:order val="1"/>
          <c:tx>
            <c:strRef>
              <c:f>ASA!$D$33</c:f>
              <c:strCache>
                <c:ptCount val="1"/>
                <c:pt idx="0">
                  <c:v>Tøyning uke 3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ASA!$D$39:$D$41</c:f>
                <c:numCache>
                  <c:formatCode>General</c:formatCode>
                  <c:ptCount val="3"/>
                  <c:pt idx="0">
                    <c:v>0.21</c:v>
                  </c:pt>
                  <c:pt idx="1">
                    <c:v>0.64</c:v>
                  </c:pt>
                  <c:pt idx="2">
                    <c:v>0.56999999999999995</c:v>
                  </c:pt>
                </c:numCache>
              </c:numRef>
            </c:plus>
            <c:minus>
              <c:numRef>
                <c:f>ASA!$D$39:$D$41</c:f>
                <c:numCache>
                  <c:formatCode>General</c:formatCode>
                  <c:ptCount val="3"/>
                  <c:pt idx="0">
                    <c:v>0.21</c:v>
                  </c:pt>
                  <c:pt idx="1">
                    <c:v>0.64</c:v>
                  </c:pt>
                  <c:pt idx="2">
                    <c:v>0.56999999999999995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ASA!$D$34:$D$36</c:f>
              <c:numCache>
                <c:formatCode>0.00</c:formatCode>
                <c:ptCount val="3"/>
                <c:pt idx="0">
                  <c:v>10.199999999999999</c:v>
                </c:pt>
                <c:pt idx="1">
                  <c:v>10.1</c:v>
                </c:pt>
                <c:pt idx="2">
                  <c:v>9.57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CCA-4BC9-810D-B58C8BEDD921}"/>
            </c:ext>
          </c:extLst>
        </c:ser>
        <c:ser>
          <c:idx val="2"/>
          <c:order val="2"/>
          <c:tx>
            <c:strRef>
              <c:f>ASA!$E$33</c:f>
              <c:strCache>
                <c:ptCount val="1"/>
                <c:pt idx="0">
                  <c:v>Tøyning uke 6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ASA!$E$39:$E$41</c:f>
                <c:numCache>
                  <c:formatCode>General</c:formatCode>
                  <c:ptCount val="3"/>
                  <c:pt idx="0">
                    <c:v>0.72</c:v>
                  </c:pt>
                  <c:pt idx="1">
                    <c:v>0.78</c:v>
                  </c:pt>
                  <c:pt idx="2">
                    <c:v>0.71</c:v>
                  </c:pt>
                </c:numCache>
              </c:numRef>
            </c:plus>
            <c:minus>
              <c:numRef>
                <c:f>ASA!$E$39:$E$41</c:f>
                <c:numCache>
                  <c:formatCode>General</c:formatCode>
                  <c:ptCount val="3"/>
                  <c:pt idx="0">
                    <c:v>0.72</c:v>
                  </c:pt>
                  <c:pt idx="1">
                    <c:v>0.78</c:v>
                  </c:pt>
                  <c:pt idx="2">
                    <c:v>0.71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ASA!$B$34:$B$36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ASA!$E$34:$E$36</c:f>
              <c:numCache>
                <c:formatCode>0.00</c:formatCode>
                <c:ptCount val="3"/>
                <c:pt idx="0">
                  <c:v>8.2100000000000009</c:v>
                </c:pt>
                <c:pt idx="1">
                  <c:v>8.48</c:v>
                </c:pt>
                <c:pt idx="2">
                  <c:v>8.66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CCA-4BC9-810D-B58C8BEDD921}"/>
            </c:ext>
          </c:extLst>
        </c:ser>
        <c:ser>
          <c:idx val="3"/>
          <c:order val="3"/>
          <c:tx>
            <c:strRef>
              <c:f>ASA!$F$33</c:f>
              <c:strCache>
                <c:ptCount val="1"/>
                <c:pt idx="0">
                  <c:v>Tøyning uke 9 (%)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ASA!$F$39:$F$41</c:f>
                <c:numCache>
                  <c:formatCode>General</c:formatCode>
                  <c:ptCount val="3"/>
                  <c:pt idx="0">
                    <c:v>1.26</c:v>
                  </c:pt>
                  <c:pt idx="1">
                    <c:v>0.77</c:v>
                  </c:pt>
                  <c:pt idx="2">
                    <c:v>0.31</c:v>
                  </c:pt>
                </c:numCache>
              </c:numRef>
            </c:plus>
            <c:minus>
              <c:numRef>
                <c:f>ASA!$F$39:$F$41</c:f>
                <c:numCache>
                  <c:formatCode>General</c:formatCode>
                  <c:ptCount val="3"/>
                  <c:pt idx="0">
                    <c:v>1.26</c:v>
                  </c:pt>
                  <c:pt idx="1">
                    <c:v>0.77</c:v>
                  </c:pt>
                  <c:pt idx="2">
                    <c:v>0.31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ASA!$B$34:$B$36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ASA!$F$34:$F$36</c:f>
              <c:numCache>
                <c:formatCode>0.00</c:formatCode>
                <c:ptCount val="3"/>
                <c:pt idx="0">
                  <c:v>9.08</c:v>
                </c:pt>
                <c:pt idx="1">
                  <c:v>10</c:v>
                </c:pt>
                <c:pt idx="2" formatCode="0.0">
                  <c:v>10.199999999999999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CCA-4BC9-810D-B58C8BEDD921}"/>
            </c:ext>
          </c:extLst>
        </c:ser>
        <c:ser>
          <c:idx val="4"/>
          <c:order val="4"/>
          <c:tx>
            <c:strRef>
              <c:f>ASA!$G$33</c:f>
              <c:strCache>
                <c:ptCount val="1"/>
                <c:pt idx="0">
                  <c:v>Tøyning uke 12 (%)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ASA!$B$34:$B$36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ASA!$G$34:$G$36</c:f>
              <c:numCache>
                <c:formatCode>General</c:formatCode>
                <c:ptCount val="3"/>
                <c:pt idx="0">
                  <c:v>6.49</c:v>
                </c:pt>
                <c:pt idx="1">
                  <c:v>6.46</c:v>
                </c:pt>
                <c:pt idx="2">
                  <c:v>8.2799999999999994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CCA-4BC9-810D-B58C8BEDD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8670408"/>
        <c:axId val="958677608"/>
      </c:lineChart>
      <c:catAx>
        <c:axId val="958670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Temperatur </a:t>
                </a:r>
                <a:r>
                  <a:rPr lang="nb-NO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(°C)  </a:t>
                </a:r>
                <a:r>
                  <a:rPr lang="nb-NO" baseline="0"/>
                  <a:t> </a:t>
                </a:r>
                <a:endParaRPr lang="nb-N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958677608"/>
        <c:crosses val="autoZero"/>
        <c:auto val="1"/>
        <c:lblAlgn val="ctr"/>
        <c:lblOffset val="100"/>
        <c:noMultiLvlLbl val="0"/>
      </c:catAx>
      <c:valAx>
        <c:axId val="95867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Tøyning</a:t>
                </a:r>
                <a:r>
                  <a:rPr lang="nb-NO" baseline="0"/>
                  <a:t> (%)</a:t>
                </a:r>
                <a:endParaRPr lang="nb-N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958670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E-modul</a:t>
            </a:r>
            <a:r>
              <a:rPr lang="nb-NO" baseline="0"/>
              <a:t> vs. temperatur </a:t>
            </a: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ASA!$K$4</c:f>
              <c:strCache>
                <c:ptCount val="1"/>
                <c:pt idx="0">
                  <c:v>E-modul uke 0 (MPa)</c:v>
                </c:pt>
              </c:strCache>
            </c:strRef>
          </c:tx>
          <c:spPr>
            <a:ln w="889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ASA!$K$10:$K$12</c:f>
                <c:numCache>
                  <c:formatCode>General</c:formatCode>
                  <c:ptCount val="3"/>
                  <c:pt idx="0">
                    <c:v>38.299999999999997</c:v>
                  </c:pt>
                  <c:pt idx="1">
                    <c:v>38.299999999999997</c:v>
                  </c:pt>
                  <c:pt idx="2">
                    <c:v>38.299999999999997</c:v>
                  </c:pt>
                </c:numCache>
              </c:numRef>
            </c:plus>
            <c:minus>
              <c:numRef>
                <c:f>ASA!$K$10:$K$12</c:f>
                <c:numCache>
                  <c:formatCode>General</c:formatCode>
                  <c:ptCount val="3"/>
                  <c:pt idx="0">
                    <c:v>38.299999999999997</c:v>
                  </c:pt>
                  <c:pt idx="1">
                    <c:v>38.299999999999997</c:v>
                  </c:pt>
                  <c:pt idx="2">
                    <c:v>38.299999999999997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ASA!$J$5:$J$7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ASA!$K$5:$K$7</c:f>
              <c:numCache>
                <c:formatCode>0.00</c:formatCode>
                <c:ptCount val="3"/>
                <c:pt idx="0">
                  <c:v>1030</c:v>
                </c:pt>
                <c:pt idx="1">
                  <c:v>1030</c:v>
                </c:pt>
                <c:pt idx="2">
                  <c:v>1030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63-4839-8C11-131CD85A7318}"/>
            </c:ext>
          </c:extLst>
        </c:ser>
        <c:ser>
          <c:idx val="1"/>
          <c:order val="1"/>
          <c:tx>
            <c:strRef>
              <c:f>ASA!$L$4</c:f>
              <c:strCache>
                <c:ptCount val="1"/>
                <c:pt idx="0">
                  <c:v>E-modul uke 3 (MPa)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ASA!$L$10:$L$12</c:f>
                <c:numCache>
                  <c:formatCode>General</c:formatCode>
                  <c:ptCount val="3"/>
                  <c:pt idx="0">
                    <c:v>7.65</c:v>
                  </c:pt>
                  <c:pt idx="1">
                    <c:v>24.7</c:v>
                  </c:pt>
                  <c:pt idx="2">
                    <c:v>70</c:v>
                  </c:pt>
                </c:numCache>
              </c:numRef>
            </c:plus>
            <c:minus>
              <c:numRef>
                <c:f>ASA!$L$10:$L$12</c:f>
                <c:numCache>
                  <c:formatCode>General</c:formatCode>
                  <c:ptCount val="3"/>
                  <c:pt idx="0">
                    <c:v>7.65</c:v>
                  </c:pt>
                  <c:pt idx="1">
                    <c:v>24.7</c:v>
                  </c:pt>
                  <c:pt idx="2">
                    <c:v>70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ASA!$J$5:$J$7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ASA!$L$5:$L$7</c:f>
              <c:numCache>
                <c:formatCode>0.00</c:formatCode>
                <c:ptCount val="3"/>
                <c:pt idx="0">
                  <c:v>852</c:v>
                </c:pt>
                <c:pt idx="1">
                  <c:v>849</c:v>
                </c:pt>
                <c:pt idx="2">
                  <c:v>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563-4839-8C11-131CD85A7318}"/>
            </c:ext>
          </c:extLst>
        </c:ser>
        <c:ser>
          <c:idx val="2"/>
          <c:order val="2"/>
          <c:tx>
            <c:strRef>
              <c:f>ASA!$M$4</c:f>
              <c:strCache>
                <c:ptCount val="1"/>
                <c:pt idx="0">
                  <c:v>E-modul uke 6 (MPa)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ASA!$M$10:$M$12</c:f>
                <c:numCache>
                  <c:formatCode>General</c:formatCode>
                  <c:ptCount val="3"/>
                  <c:pt idx="0">
                    <c:v>28</c:v>
                  </c:pt>
                  <c:pt idx="1">
                    <c:v>9.75</c:v>
                  </c:pt>
                  <c:pt idx="2">
                    <c:v>13.9</c:v>
                  </c:pt>
                </c:numCache>
              </c:numRef>
            </c:plus>
            <c:minus>
              <c:numRef>
                <c:f>ASA!$M$10:$M$12</c:f>
                <c:numCache>
                  <c:formatCode>General</c:formatCode>
                  <c:ptCount val="3"/>
                  <c:pt idx="0">
                    <c:v>28</c:v>
                  </c:pt>
                  <c:pt idx="1">
                    <c:v>9.75</c:v>
                  </c:pt>
                  <c:pt idx="2">
                    <c:v>13.9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ASA!$J$5:$J$7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ASA!$M$5:$M$7</c:f>
              <c:numCache>
                <c:formatCode>0.00</c:formatCode>
                <c:ptCount val="3"/>
                <c:pt idx="0">
                  <c:v>935</c:v>
                </c:pt>
                <c:pt idx="1">
                  <c:v>895</c:v>
                </c:pt>
                <c:pt idx="2">
                  <c:v>910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563-4839-8C11-131CD85A7318}"/>
            </c:ext>
          </c:extLst>
        </c:ser>
        <c:ser>
          <c:idx val="3"/>
          <c:order val="3"/>
          <c:tx>
            <c:strRef>
              <c:f>ASA!$N$4</c:f>
              <c:strCache>
                <c:ptCount val="1"/>
                <c:pt idx="0">
                  <c:v>E-modul uke 9 (MPa)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ASA!$N$10:$N$12</c:f>
                <c:numCache>
                  <c:formatCode>General</c:formatCode>
                  <c:ptCount val="3"/>
                  <c:pt idx="0">
                    <c:v>66.5</c:v>
                  </c:pt>
                  <c:pt idx="1">
                    <c:v>56</c:v>
                  </c:pt>
                  <c:pt idx="2">
                    <c:v>11.25</c:v>
                  </c:pt>
                </c:numCache>
              </c:numRef>
            </c:plus>
            <c:minus>
              <c:numRef>
                <c:f>ASA!$N$10:$N$12</c:f>
                <c:numCache>
                  <c:formatCode>General</c:formatCode>
                  <c:ptCount val="3"/>
                  <c:pt idx="0">
                    <c:v>66.5</c:v>
                  </c:pt>
                  <c:pt idx="1">
                    <c:v>56</c:v>
                  </c:pt>
                  <c:pt idx="2">
                    <c:v>11.25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ASA!$J$5:$J$7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ASA!$N$5:$N$7</c:f>
              <c:numCache>
                <c:formatCode>0.00</c:formatCode>
                <c:ptCount val="3"/>
                <c:pt idx="0">
                  <c:v>1020</c:v>
                </c:pt>
                <c:pt idx="1">
                  <c:v>929</c:v>
                </c:pt>
                <c:pt idx="2">
                  <c:v>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563-4839-8C11-131CD85A7318}"/>
            </c:ext>
          </c:extLst>
        </c:ser>
        <c:ser>
          <c:idx val="4"/>
          <c:order val="4"/>
          <c:tx>
            <c:strRef>
              <c:f>ASA!$O$4</c:f>
              <c:strCache>
                <c:ptCount val="1"/>
                <c:pt idx="0">
                  <c:v>E-modul uke 12 (MPa)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ASA!$J$5:$J$7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ASA!$O$5:$O$7</c:f>
              <c:numCache>
                <c:formatCode>0.00</c:formatCode>
                <c:ptCount val="3"/>
                <c:pt idx="0">
                  <c:v>1060</c:v>
                </c:pt>
                <c:pt idx="1">
                  <c:v>760</c:v>
                </c:pt>
                <c:pt idx="2">
                  <c:v>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563-4839-8C11-131CD85A7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9784304"/>
        <c:axId val="857166048"/>
      </c:lineChart>
      <c:catAx>
        <c:axId val="859784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Temperatur (</a:t>
                </a:r>
                <a:r>
                  <a:rPr lang="nb-NO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°C</a:t>
                </a:r>
                <a:r>
                  <a:rPr lang="nb-NO"/>
                  <a:t> 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857166048"/>
        <c:crosses val="autoZero"/>
        <c:auto val="1"/>
        <c:lblAlgn val="ctr"/>
        <c:lblOffset val="100"/>
        <c:noMultiLvlLbl val="0"/>
      </c:catAx>
      <c:valAx>
        <c:axId val="85716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E-modul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85978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Tøyning</a:t>
            </a:r>
            <a:r>
              <a:rPr lang="nb-NO" baseline="0"/>
              <a:t> vs. temperatur </a:t>
            </a: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ASA!$K$33</c:f>
              <c:strCache>
                <c:ptCount val="1"/>
                <c:pt idx="0">
                  <c:v>Tøyning uke 0 (%)</c:v>
                </c:pt>
              </c:strCache>
            </c:strRef>
          </c:tx>
          <c:spPr>
            <a:ln w="889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ASA!$K$39:$K$41</c:f>
                <c:numCache>
                  <c:formatCode>General</c:formatCode>
                  <c:ptCount val="3"/>
                  <c:pt idx="0">
                    <c:v>0.28000000000000003</c:v>
                  </c:pt>
                  <c:pt idx="1">
                    <c:v>0.28000000000000003</c:v>
                  </c:pt>
                  <c:pt idx="2">
                    <c:v>0.28000000000000003</c:v>
                  </c:pt>
                </c:numCache>
              </c:numRef>
            </c:plus>
            <c:minus>
              <c:numRef>
                <c:f>ASA!$K$39:$K$41</c:f>
                <c:numCache>
                  <c:formatCode>General</c:formatCode>
                  <c:ptCount val="3"/>
                  <c:pt idx="0">
                    <c:v>0.28000000000000003</c:v>
                  </c:pt>
                  <c:pt idx="1">
                    <c:v>0.28000000000000003</c:v>
                  </c:pt>
                  <c:pt idx="2">
                    <c:v>0.28000000000000003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ASA!$J$34:$J$36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ASA!$K$34:$K$36</c:f>
              <c:numCache>
                <c:formatCode>0.00</c:formatCode>
                <c:ptCount val="3"/>
                <c:pt idx="0">
                  <c:v>11.6</c:v>
                </c:pt>
                <c:pt idx="1">
                  <c:v>11.6</c:v>
                </c:pt>
                <c:pt idx="2">
                  <c:v>11.6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0F-4C26-B0E3-096C4D05634E}"/>
            </c:ext>
          </c:extLst>
        </c:ser>
        <c:ser>
          <c:idx val="1"/>
          <c:order val="1"/>
          <c:tx>
            <c:strRef>
              <c:f>ASA!$L$33</c:f>
              <c:strCache>
                <c:ptCount val="1"/>
                <c:pt idx="0">
                  <c:v>Tøyning uke 3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ASA!$L$39:$L$41</c:f>
                <c:numCache>
                  <c:formatCode>General</c:formatCode>
                  <c:ptCount val="3"/>
                  <c:pt idx="0">
                    <c:v>0.79</c:v>
                  </c:pt>
                  <c:pt idx="1">
                    <c:v>0.76</c:v>
                  </c:pt>
                  <c:pt idx="2">
                    <c:v>0.36</c:v>
                  </c:pt>
                </c:numCache>
              </c:numRef>
            </c:plus>
            <c:minus>
              <c:numRef>
                <c:f>ASA!$L$39:$L$41</c:f>
                <c:numCache>
                  <c:formatCode>General</c:formatCode>
                  <c:ptCount val="3"/>
                  <c:pt idx="0">
                    <c:v>0.79</c:v>
                  </c:pt>
                  <c:pt idx="1">
                    <c:v>0.76</c:v>
                  </c:pt>
                  <c:pt idx="2">
                    <c:v>0.36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ASA!$J$34:$J$36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ASA!$L$34:$L$36</c:f>
              <c:numCache>
                <c:formatCode>0.00</c:formatCode>
                <c:ptCount val="3"/>
                <c:pt idx="0">
                  <c:v>11.1</c:v>
                </c:pt>
                <c:pt idx="1">
                  <c:v>9.61</c:v>
                </c:pt>
                <c:pt idx="2">
                  <c:v>10.3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0F-4C26-B0E3-096C4D05634E}"/>
            </c:ext>
          </c:extLst>
        </c:ser>
        <c:ser>
          <c:idx val="2"/>
          <c:order val="2"/>
          <c:tx>
            <c:strRef>
              <c:f>ASA!$M$33</c:f>
              <c:strCache>
                <c:ptCount val="1"/>
                <c:pt idx="0">
                  <c:v>Tøyning uke 6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ASA!$M$39:$M$41</c:f>
                <c:numCache>
                  <c:formatCode>General</c:formatCode>
                  <c:ptCount val="3"/>
                  <c:pt idx="0">
                    <c:v>0.94</c:v>
                  </c:pt>
                  <c:pt idx="1">
                    <c:v>0.55000000000000004</c:v>
                  </c:pt>
                  <c:pt idx="2">
                    <c:v>0.69</c:v>
                  </c:pt>
                </c:numCache>
              </c:numRef>
            </c:plus>
            <c:minus>
              <c:numRef>
                <c:f>ASA!$M$39:$M$41</c:f>
                <c:numCache>
                  <c:formatCode>General</c:formatCode>
                  <c:ptCount val="3"/>
                  <c:pt idx="0">
                    <c:v>0.94</c:v>
                  </c:pt>
                  <c:pt idx="1">
                    <c:v>0.55000000000000004</c:v>
                  </c:pt>
                  <c:pt idx="2">
                    <c:v>0.69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ASA!$J$34:$J$36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ASA!$M$34:$M$36</c:f>
              <c:numCache>
                <c:formatCode>0.00</c:formatCode>
                <c:ptCount val="3"/>
                <c:pt idx="0">
                  <c:v>8.33</c:v>
                </c:pt>
                <c:pt idx="1">
                  <c:v>10.1</c:v>
                </c:pt>
                <c:pt idx="2">
                  <c:v>8.93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90F-4C26-B0E3-096C4D05634E}"/>
            </c:ext>
          </c:extLst>
        </c:ser>
        <c:ser>
          <c:idx val="3"/>
          <c:order val="3"/>
          <c:tx>
            <c:strRef>
              <c:f>ASA!$N$33</c:f>
              <c:strCache>
                <c:ptCount val="1"/>
                <c:pt idx="0">
                  <c:v>Tøyning uke 9 (%)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ASA!$N$39:$N$41</c:f>
                <c:numCache>
                  <c:formatCode>General</c:formatCode>
                  <c:ptCount val="3"/>
                  <c:pt idx="0">
                    <c:v>0.28999999999999998</c:v>
                  </c:pt>
                  <c:pt idx="1">
                    <c:v>0.97</c:v>
                  </c:pt>
                  <c:pt idx="2">
                    <c:v>0.88</c:v>
                  </c:pt>
                </c:numCache>
              </c:numRef>
            </c:plus>
            <c:minus>
              <c:numRef>
                <c:f>ASA!$N$39:$N$41</c:f>
                <c:numCache>
                  <c:formatCode>General</c:formatCode>
                  <c:ptCount val="3"/>
                  <c:pt idx="0">
                    <c:v>0.28999999999999998</c:v>
                  </c:pt>
                  <c:pt idx="1">
                    <c:v>0.97</c:v>
                  </c:pt>
                  <c:pt idx="2">
                    <c:v>0.88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ASA!$J$34:$J$36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ASA!$N$34:$N$36</c:f>
              <c:numCache>
                <c:formatCode>0.00</c:formatCode>
                <c:ptCount val="3"/>
                <c:pt idx="0">
                  <c:v>8.98</c:v>
                </c:pt>
                <c:pt idx="1">
                  <c:v>8.7100000000000009</c:v>
                </c:pt>
                <c:pt idx="2">
                  <c:v>10.4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90F-4C26-B0E3-096C4D05634E}"/>
            </c:ext>
          </c:extLst>
        </c:ser>
        <c:ser>
          <c:idx val="4"/>
          <c:order val="4"/>
          <c:tx>
            <c:strRef>
              <c:f>ASA!$O$33</c:f>
              <c:strCache>
                <c:ptCount val="1"/>
                <c:pt idx="0">
                  <c:v>Tøyning uke 12 (%)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ASA!$J$34:$J$36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</c:numCache>
            </c:numRef>
          </c:cat>
          <c:val>
            <c:numRef>
              <c:f>ASA!$O$34:$O$36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90F-4C26-B0E3-096C4D056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7841512"/>
        <c:axId val="1097845832"/>
      </c:lineChart>
      <c:catAx>
        <c:axId val="1097841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Temperatur (</a:t>
                </a:r>
                <a:r>
                  <a:rPr lang="nb-N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°C</a:t>
                </a:r>
                <a:r>
                  <a:rPr lang="nb-NO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)</a:t>
                </a:r>
                <a:r>
                  <a:rPr lang="nb-NO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97845832"/>
        <c:crosses val="autoZero"/>
        <c:auto val="1"/>
        <c:lblAlgn val="ctr"/>
        <c:lblOffset val="100"/>
        <c:noMultiLvlLbl val="0"/>
      </c:catAx>
      <c:valAx>
        <c:axId val="1097845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Tøyning (%)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nb-N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97841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PLA</a:t>
            </a:r>
            <a:r>
              <a:rPr lang="nb-NO" baseline="0"/>
              <a:t> 3 uker </a:t>
            </a: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20–40°C (våt)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name>20-40°C (Våt) </c:name>
            <c:spPr>
              <a:ln w="19050" cap="rnd">
                <a:solidFill>
                  <a:schemeClr val="accent1"/>
                </a:solidFill>
                <a:prstDash val="dash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8141076115485562E-2"/>
                  <c:y val="0.102592957130358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</c:trendlineLbl>
          </c:trendline>
          <c:xVal>
            <c:numRef>
              <c:f>Arrhenius!$P$7:$P$8</c:f>
              <c:numCache>
                <c:formatCode>0.00</c:formatCode>
                <c:ptCount val="2"/>
                <c:pt idx="0">
                  <c:v>3.4129692832764507</c:v>
                </c:pt>
                <c:pt idx="1">
                  <c:v>3.1948881789137378</c:v>
                </c:pt>
              </c:numCache>
            </c:numRef>
          </c:xVal>
          <c:yVal>
            <c:numRef>
              <c:f>Arrhenius!$Q$7:$Q$8</c:f>
              <c:numCache>
                <c:formatCode>0.00</c:formatCode>
                <c:ptCount val="2"/>
                <c:pt idx="0">
                  <c:v>4.7004803657924166</c:v>
                </c:pt>
                <c:pt idx="1">
                  <c:v>5.521460917862246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6F-42A6-8783-F6437213553C}"/>
            </c:ext>
          </c:extLst>
        </c:ser>
        <c:ser>
          <c:idx val="1"/>
          <c:order val="1"/>
          <c:tx>
            <c:v>40–60°C (våt)</c:v>
          </c:tx>
          <c:spPr>
            <a:ln w="25400" cap="rnd">
              <a:noFill/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name>40-60°C (Våt)</c:nam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2565077324518109"/>
                  <c:y val="0.462162171991780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</c:trendlineLbl>
          </c:trendline>
          <c:xVal>
            <c:numRef>
              <c:f>Arrhenius!$P$8:$P$9</c:f>
              <c:numCache>
                <c:formatCode>0.00</c:formatCode>
                <c:ptCount val="2"/>
                <c:pt idx="0">
                  <c:v>3.1948881789137378</c:v>
                </c:pt>
                <c:pt idx="1">
                  <c:v>3.0030030030030028</c:v>
                </c:pt>
              </c:numCache>
            </c:numRef>
          </c:xVal>
          <c:yVal>
            <c:numRef>
              <c:f>Arrhenius!$Q$8:$Q$9</c:f>
              <c:numCache>
                <c:formatCode>0.00</c:formatCode>
                <c:ptCount val="2"/>
                <c:pt idx="0">
                  <c:v>5.521460917862246</c:v>
                </c:pt>
                <c:pt idx="1">
                  <c:v>3.912023005428146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6F-42A6-8783-F6437213553C}"/>
            </c:ext>
          </c:extLst>
        </c:ser>
        <c:ser>
          <c:idx val="2"/>
          <c:order val="2"/>
          <c:tx>
            <c:v>20–40°C (tørr)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name>20-40°C (Tørr) </c:nam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5805575323492728E-2"/>
                  <c:y val="-5.418219951143520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</c:trendlineLbl>
          </c:trendline>
          <c:xVal>
            <c:numRef>
              <c:f>Arrhenius!$P$21:$P$22</c:f>
              <c:numCache>
                <c:formatCode>0.00</c:formatCode>
                <c:ptCount val="2"/>
                <c:pt idx="0">
                  <c:v>3.4129692832764507</c:v>
                </c:pt>
                <c:pt idx="1">
                  <c:v>3.1948881789137378</c:v>
                </c:pt>
              </c:numCache>
            </c:numRef>
          </c:xVal>
          <c:yVal>
            <c:numRef>
              <c:f>Arrhenius!$Q$21:$Q$22</c:f>
              <c:numCache>
                <c:formatCode>0.00</c:formatCode>
                <c:ptCount val="2"/>
                <c:pt idx="0">
                  <c:v>5.5746856790995443</c:v>
                </c:pt>
                <c:pt idx="1">
                  <c:v>5.3471075307174685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11-490D-8E1F-A8CFDA3C6841}"/>
            </c:ext>
          </c:extLst>
        </c:ser>
        <c:ser>
          <c:idx val="3"/>
          <c:order val="3"/>
          <c:tx>
            <c:v>40–60°C (tørr)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trendline>
            <c:name>40-60°C (Tørr) </c:nam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8.3746011340419188E-2"/>
                  <c:y val="-8.638965163996532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</c:trendlineLbl>
          </c:trendline>
          <c:xVal>
            <c:numRef>
              <c:f>Arrhenius!$P$22:$P$23</c:f>
              <c:numCache>
                <c:formatCode>0.00</c:formatCode>
                <c:ptCount val="2"/>
                <c:pt idx="0">
                  <c:v>3.1948881789137378</c:v>
                </c:pt>
                <c:pt idx="1">
                  <c:v>3.0030030030030028</c:v>
                </c:pt>
              </c:numCache>
            </c:numRef>
          </c:xVal>
          <c:yVal>
            <c:numRef>
              <c:f>Arrhenius!$Q$22:$Q$23</c:f>
              <c:numCache>
                <c:formatCode>0.00</c:formatCode>
                <c:ptCount val="2"/>
                <c:pt idx="0">
                  <c:v>5.3471075307174685</c:v>
                </c:pt>
                <c:pt idx="1">
                  <c:v>5.3706380281276624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C11-490D-8E1F-A8CFDA3C6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895432"/>
        <c:axId val="1062904072"/>
      </c:scatterChart>
      <c:valAx>
        <c:axId val="1062895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b="1"/>
                  <a:t>1000/T</a:t>
                </a:r>
                <a:r>
                  <a:rPr lang="nb-NO" b="1" baseline="0"/>
                  <a:t>, 1000K^-1</a:t>
                </a:r>
                <a:endParaRPr lang="nb-NO" b="1"/>
              </a:p>
            </c:rich>
          </c:tx>
          <c:layout>
            <c:manualLayout>
              <c:xMode val="edge"/>
              <c:yMode val="edge"/>
              <c:x val="0.36662736146059671"/>
              <c:y val="0.937106419389884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62904072"/>
        <c:crosses val="autoZero"/>
        <c:crossBetween val="midCat"/>
      </c:valAx>
      <c:valAx>
        <c:axId val="1062904072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b="1"/>
                  <a:t>Ln(k)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62895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PETG</a:t>
            </a:r>
            <a:r>
              <a:rPr lang="nb-NO" baseline="0"/>
              <a:t> 3 uker </a:t>
            </a: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20-40°C (Våt)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name>20-40°C (Våt)</c:name>
            <c:spPr>
              <a:ln w="19050" cap="rnd">
                <a:solidFill>
                  <a:schemeClr val="accent1"/>
                </a:solidFill>
                <a:prstDash val="dash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0149674176176464E-2"/>
                  <c:y val="4.953915566174927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</c:trendlineLbl>
          </c:trendline>
          <c:xVal>
            <c:numRef>
              <c:f>Arrhenius!$P$35:$P$36</c:f>
              <c:numCache>
                <c:formatCode>0.00</c:formatCode>
                <c:ptCount val="2"/>
                <c:pt idx="0">
                  <c:v>3.4129692832764507</c:v>
                </c:pt>
                <c:pt idx="1">
                  <c:v>3.1948881789137378</c:v>
                </c:pt>
              </c:numCache>
            </c:numRef>
          </c:xVal>
          <c:yVal>
            <c:numRef>
              <c:f>Arrhenius!$Q$35:$Q$36</c:f>
              <c:numCache>
                <c:formatCode>0.00</c:formatCode>
                <c:ptCount val="2"/>
                <c:pt idx="0">
                  <c:v>3.4122472178487402</c:v>
                </c:pt>
                <c:pt idx="1">
                  <c:v>3.3557350075853982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59E-4777-AAC8-E14F3CC58617}"/>
            </c:ext>
          </c:extLst>
        </c:ser>
        <c:ser>
          <c:idx val="1"/>
          <c:order val="1"/>
          <c:tx>
            <c:v>40-60°C (Våt)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trendline>
            <c:name>40-60°C (Våt)</c:nam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8.6509242036027126E-2"/>
                  <c:y val="-9.631872167468641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</c:trendlineLbl>
          </c:trendline>
          <c:xVal>
            <c:numRef>
              <c:f>Arrhenius!$P$36:$P$37</c:f>
              <c:numCache>
                <c:formatCode>0.00</c:formatCode>
                <c:ptCount val="2"/>
                <c:pt idx="0">
                  <c:v>3.1948881789137378</c:v>
                </c:pt>
                <c:pt idx="1">
                  <c:v>3.0030030030030028</c:v>
                </c:pt>
              </c:numCache>
            </c:numRef>
          </c:xVal>
          <c:yVal>
            <c:numRef>
              <c:f>Arrhenius!$Q$36:$Q$37</c:f>
              <c:numCache>
                <c:formatCode>0.00</c:formatCode>
                <c:ptCount val="2"/>
                <c:pt idx="0">
                  <c:v>3.3557350075853982</c:v>
                </c:pt>
                <c:pt idx="1">
                  <c:v>4.7507124912787493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59E-4777-AAC8-E14F3CC58617}"/>
            </c:ext>
          </c:extLst>
        </c:ser>
        <c:ser>
          <c:idx val="2"/>
          <c:order val="2"/>
          <c:tx>
            <c:v>20-40°C (Tørr)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name>20-40°C (Tørr)</c:nam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4678795975533351E-3"/>
                  <c:y val="-9.498345120590828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</c:trendlineLbl>
          </c:trendline>
          <c:xVal>
            <c:numRef>
              <c:f>Arrhenius!$P$49:$P$50</c:f>
              <c:numCache>
                <c:formatCode>0.00</c:formatCode>
                <c:ptCount val="2"/>
                <c:pt idx="0">
                  <c:v>3.4129692832764507</c:v>
                </c:pt>
                <c:pt idx="1">
                  <c:v>3.1948881789137378</c:v>
                </c:pt>
              </c:numCache>
            </c:numRef>
          </c:xVal>
          <c:yVal>
            <c:numRef>
              <c:f>Arrhenius!$Q$49:$Q$50</c:f>
              <c:numCache>
                <c:formatCode>0.00</c:formatCode>
                <c:ptCount val="2"/>
                <c:pt idx="0">
                  <c:v>4.2812850648723497</c:v>
                </c:pt>
                <c:pt idx="1">
                  <c:v>4.5951198501345898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75-46B9-9945-29CD1AA64567}"/>
            </c:ext>
          </c:extLst>
        </c:ser>
        <c:ser>
          <c:idx val="3"/>
          <c:order val="3"/>
          <c:tx>
            <c:v>40-60°C (Tørr)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trendline>
            <c:name>40-60°C (Tørr)</c:nam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5995140068894735E-2"/>
                  <c:y val="-2.402704503701849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</c:trendlineLbl>
          </c:trendline>
          <c:xVal>
            <c:numRef>
              <c:f>Arrhenius!$P$50:$P$51</c:f>
              <c:numCache>
                <c:formatCode>0.00</c:formatCode>
                <c:ptCount val="2"/>
                <c:pt idx="0">
                  <c:v>3.1948881789137378</c:v>
                </c:pt>
                <c:pt idx="1">
                  <c:v>3.0030030030030028</c:v>
                </c:pt>
              </c:numCache>
            </c:numRef>
          </c:xVal>
          <c:yVal>
            <c:numRef>
              <c:f>Arrhenius!$Q$50:$Q$51</c:f>
              <c:numCache>
                <c:formatCode>0.00</c:formatCode>
                <c:ptCount val="2"/>
                <c:pt idx="0">
                  <c:v>4.5951198501345898</c:v>
                </c:pt>
                <c:pt idx="1">
                  <c:v>4.1845914400698785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975-46B9-9945-29CD1AA64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3800568"/>
        <c:axId val="783803448"/>
      </c:scatterChart>
      <c:valAx>
        <c:axId val="783800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1000/T, 1000K^-1</a:t>
                </a:r>
                <a:endParaRPr lang="nb-NO" sz="1000" b="1"/>
              </a:p>
            </c:rich>
          </c:tx>
          <c:layout>
            <c:manualLayout>
              <c:xMode val="edge"/>
              <c:yMode val="edge"/>
              <c:x val="0.38545229539409692"/>
              <c:y val="0.936396670360539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83803448"/>
        <c:crosses val="autoZero"/>
        <c:crossBetween val="midCat"/>
      </c:valAx>
      <c:valAx>
        <c:axId val="783803448"/>
        <c:scaling>
          <c:orientation val="minMax"/>
          <c:max val="6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b="1"/>
                  <a:t>Ln(k)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83800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PLA</a:t>
            </a:r>
            <a:r>
              <a:rPr lang="nb-NO" baseline="0"/>
              <a:t> 3 uker (tørr) </a:t>
            </a:r>
            <a:endParaRPr lang="nb-NO"/>
          </a:p>
        </c:rich>
      </c:tx>
      <c:layout>
        <c:manualLayout>
          <c:xMode val="edge"/>
          <c:yMode val="edge"/>
          <c:x val="0.3853888888888888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20-40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0872922134733157E-2"/>
                  <c:y val="0.1426651356080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</c:trendlineLbl>
          </c:trendline>
          <c:xVal>
            <c:numRef>
              <c:f>Arrhenius!$P$21:$P$22</c:f>
              <c:numCache>
                <c:formatCode>0.00</c:formatCode>
                <c:ptCount val="2"/>
                <c:pt idx="0">
                  <c:v>3.4129692832764507</c:v>
                </c:pt>
                <c:pt idx="1">
                  <c:v>3.1948881789137378</c:v>
                </c:pt>
              </c:numCache>
            </c:numRef>
          </c:xVal>
          <c:yVal>
            <c:numRef>
              <c:f>Arrhenius!$Q$21:$Q$22</c:f>
              <c:numCache>
                <c:formatCode>0.00</c:formatCode>
                <c:ptCount val="2"/>
                <c:pt idx="0">
                  <c:v>5.5746856790995443</c:v>
                </c:pt>
                <c:pt idx="1">
                  <c:v>5.3471075307174685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FC-4098-BC74-880BE8766CED}"/>
            </c:ext>
          </c:extLst>
        </c:ser>
        <c:ser>
          <c:idx val="1"/>
          <c:order val="1"/>
          <c:tx>
            <c:v>40-60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7214129483814551E-2"/>
                  <c:y val="0.115728710994459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</c:trendlineLbl>
          </c:trendline>
          <c:xVal>
            <c:numRef>
              <c:f>Arrhenius!$P$22:$P$23</c:f>
              <c:numCache>
                <c:formatCode>0.00</c:formatCode>
                <c:ptCount val="2"/>
                <c:pt idx="0">
                  <c:v>3.1948881789137378</c:v>
                </c:pt>
                <c:pt idx="1">
                  <c:v>3.0030030030030028</c:v>
                </c:pt>
              </c:numCache>
            </c:numRef>
          </c:xVal>
          <c:yVal>
            <c:numRef>
              <c:f>Arrhenius!$Q$22:$Q$23</c:f>
              <c:numCache>
                <c:formatCode>0.00</c:formatCode>
                <c:ptCount val="2"/>
                <c:pt idx="0">
                  <c:v>5.3471075307174685</c:v>
                </c:pt>
                <c:pt idx="1">
                  <c:v>5.3706380281276624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AFC-4098-BC74-880BE8766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9723032"/>
        <c:axId val="979724112"/>
      </c:scatterChart>
      <c:valAx>
        <c:axId val="979723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1000/T, 1000K^-1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979724112"/>
        <c:crosses val="autoZero"/>
        <c:crossBetween val="midCat"/>
      </c:valAx>
      <c:valAx>
        <c:axId val="979724112"/>
        <c:scaling>
          <c:orientation val="minMax"/>
          <c:max val="6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Ln(k)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nb-N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979723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PETG</a:t>
            </a:r>
            <a:r>
              <a:rPr lang="nb-NO" baseline="0"/>
              <a:t> 3 uker (Tørr)</a:t>
            </a: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20-40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1858923884514436E-2"/>
                  <c:y val="7.244750656167979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</c:trendlineLbl>
          </c:trendline>
          <c:xVal>
            <c:numRef>
              <c:f>Arrhenius!$P$49:$P$50</c:f>
              <c:numCache>
                <c:formatCode>0.00</c:formatCode>
                <c:ptCount val="2"/>
                <c:pt idx="0">
                  <c:v>3.4129692832764507</c:v>
                </c:pt>
                <c:pt idx="1">
                  <c:v>3.1948881789137378</c:v>
                </c:pt>
              </c:numCache>
            </c:numRef>
          </c:xVal>
          <c:yVal>
            <c:numRef>
              <c:f>Arrhenius!$Q$49:$Q$50</c:f>
              <c:numCache>
                <c:formatCode>0.00</c:formatCode>
                <c:ptCount val="2"/>
                <c:pt idx="0">
                  <c:v>4.2812850648723497</c:v>
                </c:pt>
                <c:pt idx="1">
                  <c:v>4.5951198501345898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3A-4065-B3DE-DE713A1D86E1}"/>
            </c:ext>
          </c:extLst>
        </c:ser>
        <c:ser>
          <c:idx val="1"/>
          <c:order val="1"/>
          <c:tx>
            <c:v>40-60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8.7658573928258973E-2"/>
                  <c:y val="-2.802639253426654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</c:trendlineLbl>
          </c:trendline>
          <c:xVal>
            <c:numRef>
              <c:f>Arrhenius!$P$50:$P$51</c:f>
              <c:numCache>
                <c:formatCode>0.00</c:formatCode>
                <c:ptCount val="2"/>
                <c:pt idx="0">
                  <c:v>3.1948881789137378</c:v>
                </c:pt>
                <c:pt idx="1">
                  <c:v>3.0030030030030028</c:v>
                </c:pt>
              </c:numCache>
            </c:numRef>
          </c:xVal>
          <c:yVal>
            <c:numRef>
              <c:f>Arrhenius!$Q$50:$Q$51</c:f>
              <c:numCache>
                <c:formatCode>0.00</c:formatCode>
                <c:ptCount val="2"/>
                <c:pt idx="0">
                  <c:v>4.5951198501345898</c:v>
                </c:pt>
                <c:pt idx="1">
                  <c:v>4.1845914400698785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3A-4065-B3DE-DE713A1D8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9725912"/>
        <c:axId val="979728792"/>
      </c:scatterChart>
      <c:valAx>
        <c:axId val="979725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1000/T, 1000K^-1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nb-NO"/>
              </a:p>
            </c:rich>
          </c:tx>
          <c:layout>
            <c:manualLayout>
              <c:xMode val="edge"/>
              <c:yMode val="edge"/>
              <c:x val="0.4334433508311461"/>
              <c:y val="0.836064814814814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979728792"/>
        <c:crosses val="autoZero"/>
        <c:crossBetween val="midCat"/>
      </c:valAx>
      <c:valAx>
        <c:axId val="979728792"/>
        <c:scaling>
          <c:orientation val="minMax"/>
          <c:max val="6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Ln(k)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979725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ASA 3 uker</a:t>
            </a:r>
            <a:r>
              <a:rPr lang="nb-NO" baseline="0"/>
              <a:t>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0.11337175816903158"/>
          <c:y val="0.10556035421127069"/>
          <c:w val="0.68108364917525221"/>
          <c:h val="0.73866229488683444"/>
        </c:manualLayout>
      </c:layout>
      <c:scatterChart>
        <c:scatterStyle val="lineMarker"/>
        <c:varyColors val="0"/>
        <c:ser>
          <c:idx val="0"/>
          <c:order val="0"/>
          <c:tx>
            <c:v>20-40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name>20-40°C (Våt)</c:name>
            <c:spPr>
              <a:ln w="19050" cap="rnd">
                <a:solidFill>
                  <a:schemeClr val="accent1"/>
                </a:solidFill>
                <a:prstDash val="dash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0533969095323215"/>
                  <c:y val="5.46646433940557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</c:trendlineLbl>
          </c:trendline>
          <c:xVal>
            <c:numRef>
              <c:f>Arrhenius!$P$63:$P$64</c:f>
              <c:numCache>
                <c:formatCode>0.00</c:formatCode>
                <c:ptCount val="2"/>
                <c:pt idx="0">
                  <c:v>3.4129692832764507</c:v>
                </c:pt>
                <c:pt idx="1">
                  <c:v>3.1948881789137378</c:v>
                </c:pt>
              </c:numCache>
            </c:numRef>
          </c:xVal>
          <c:yVal>
            <c:numRef>
              <c:f>Arrhenius!$Q$63:$Q$64</c:f>
              <c:numCache>
                <c:formatCode>0.00</c:formatCode>
                <c:ptCount val="2"/>
                <c:pt idx="0">
                  <c:v>4.1163234689408759</c:v>
                </c:pt>
                <c:pt idx="1">
                  <c:v>4.0193815237486454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99-4729-9B9E-78F74536C290}"/>
            </c:ext>
          </c:extLst>
        </c:ser>
        <c:ser>
          <c:idx val="1"/>
          <c:order val="1"/>
          <c:tx>
            <c:v>40-60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trendline>
            <c:name>40-60°C (Våt)</c:nam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7763318304152358E-2"/>
                  <c:y val="-0.2114498874089843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</c:trendlineLbl>
          </c:trendline>
          <c:xVal>
            <c:numRef>
              <c:f>Arrhenius!$P$64:$P$65</c:f>
              <c:numCache>
                <c:formatCode>0.00</c:formatCode>
                <c:ptCount val="2"/>
                <c:pt idx="0">
                  <c:v>3.1948881789137378</c:v>
                </c:pt>
                <c:pt idx="1">
                  <c:v>3.0030030030030028</c:v>
                </c:pt>
              </c:numCache>
            </c:numRef>
          </c:xVal>
          <c:yVal>
            <c:numRef>
              <c:f>Arrhenius!$Q$64:$Q$65</c:f>
              <c:numCache>
                <c:formatCode>0.00</c:formatCode>
                <c:ptCount val="2"/>
                <c:pt idx="0">
                  <c:v>4.0193815237486454</c:v>
                </c:pt>
                <c:pt idx="1">
                  <c:v>4.9972122737641147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99-4729-9B9E-78F74536C290}"/>
            </c:ext>
          </c:extLst>
        </c:ser>
        <c:ser>
          <c:idx val="2"/>
          <c:order val="2"/>
          <c:tx>
            <c:v>20-40 tørr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name>20-40°C (Tørr)</c:nam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095381821646291"/>
                  <c:y val="-5.355604536315967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</c:trendlineLbl>
          </c:trendline>
          <c:xVal>
            <c:numRef>
              <c:f>Arrhenius!$P$76:$P$77</c:f>
              <c:numCache>
                <c:formatCode>0.00</c:formatCode>
                <c:ptCount val="2"/>
                <c:pt idx="0">
                  <c:v>3.4129692832764507</c:v>
                </c:pt>
                <c:pt idx="1">
                  <c:v>3.1948881789137378</c:v>
                </c:pt>
              </c:numCache>
            </c:numRef>
          </c:xVal>
          <c:yVal>
            <c:numRef>
              <c:f>Arrhenius!$Q$76:$Q$77</c:f>
              <c:numCache>
                <c:formatCode>0.00</c:formatCode>
                <c:ptCount val="2"/>
                <c:pt idx="0">
                  <c:v>4.0831712616239759</c:v>
                </c:pt>
                <c:pt idx="1">
                  <c:v>4.0998847425977161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319-47A3-AD81-A32C263DE70F}"/>
            </c:ext>
          </c:extLst>
        </c:ser>
        <c:ser>
          <c:idx val="3"/>
          <c:order val="3"/>
          <c:tx>
            <c:v>40-60 tørr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trendline>
            <c:name>40-60°C (Tørr)</c:nam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2897720236353613E-2"/>
                  <c:y val="0.213869438375985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</c:trendlineLbl>
          </c:trendline>
          <c:xVal>
            <c:numRef>
              <c:f>Arrhenius!$P$77:$P$78</c:f>
              <c:numCache>
                <c:formatCode>0.00</c:formatCode>
                <c:ptCount val="2"/>
                <c:pt idx="0">
                  <c:v>3.1948881789137378</c:v>
                </c:pt>
                <c:pt idx="1">
                  <c:v>3.0030030030030028</c:v>
                </c:pt>
              </c:numCache>
            </c:numRef>
          </c:xVal>
          <c:yVal>
            <c:numRef>
              <c:f>Arrhenius!$Q$77:$Q$78</c:f>
              <c:numCache>
                <c:formatCode>0.00</c:formatCode>
                <c:ptCount val="2"/>
                <c:pt idx="0">
                  <c:v>4.0998847425977161</c:v>
                </c:pt>
                <c:pt idx="1">
                  <c:v>3.2188758248682006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319-47A3-AD81-A32C263DE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9316848"/>
        <c:axId val="1079324768"/>
      </c:scatterChart>
      <c:valAx>
        <c:axId val="107931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1000/T, 1000K^-1</a:t>
                </a:r>
              </a:p>
            </c:rich>
          </c:tx>
          <c:layout>
            <c:manualLayout>
              <c:xMode val="edge"/>
              <c:yMode val="edge"/>
              <c:x val="0.38295667611199569"/>
              <c:y val="0.912994854670406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79324768"/>
        <c:crosses val="autoZero"/>
        <c:crossBetween val="midCat"/>
      </c:valAx>
      <c:valAx>
        <c:axId val="1079324768"/>
        <c:scaling>
          <c:orientation val="minMax"/>
          <c:max val="6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Ln(k)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nb-NO"/>
              </a:p>
            </c:rich>
          </c:tx>
          <c:layout>
            <c:manualLayout>
              <c:xMode val="edge"/>
              <c:yMode val="edge"/>
              <c:x val="1.688585101688099E-2"/>
              <c:y val="0.446341636864585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79316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8455245517840938"/>
          <c:y val="0.41639186690852498"/>
          <c:w val="0.15447547215947463"/>
          <c:h val="0.181023773338916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ASA</a:t>
            </a:r>
            <a:r>
              <a:rPr lang="nb-NO" baseline="0"/>
              <a:t> 3 uker (tørr) </a:t>
            </a: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20-40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8077427821522313E-3"/>
                  <c:y val="-0.114071886847477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</c:trendlineLbl>
          </c:trendline>
          <c:xVal>
            <c:numRef>
              <c:f>Arrhenius!$P$76:$P$77</c:f>
              <c:numCache>
                <c:formatCode>0.00</c:formatCode>
                <c:ptCount val="2"/>
                <c:pt idx="0">
                  <c:v>3.4129692832764507</c:v>
                </c:pt>
                <c:pt idx="1">
                  <c:v>3.1948881789137378</c:v>
                </c:pt>
              </c:numCache>
            </c:numRef>
          </c:xVal>
          <c:yVal>
            <c:numRef>
              <c:f>Arrhenius!$Q$76:$Q$77</c:f>
              <c:numCache>
                <c:formatCode>0.00</c:formatCode>
                <c:ptCount val="2"/>
                <c:pt idx="0">
                  <c:v>4.0831712616239759</c:v>
                </c:pt>
                <c:pt idx="1">
                  <c:v>4.0998847425977161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EC-4519-A8E4-5FEDCEF64BFD}"/>
            </c:ext>
          </c:extLst>
        </c:ser>
        <c:ser>
          <c:idx val="1"/>
          <c:order val="1"/>
          <c:tx>
            <c:v>40-60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8.7658573928258973E-2"/>
                  <c:y val="-3.572105570137066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</c:trendlineLbl>
          </c:trendline>
          <c:xVal>
            <c:numRef>
              <c:f>Arrhenius!$P$77:$P$78</c:f>
              <c:numCache>
                <c:formatCode>0.00</c:formatCode>
                <c:ptCount val="2"/>
                <c:pt idx="0">
                  <c:v>3.1948881789137378</c:v>
                </c:pt>
                <c:pt idx="1">
                  <c:v>3.0030030030030028</c:v>
                </c:pt>
              </c:numCache>
            </c:numRef>
          </c:xVal>
          <c:yVal>
            <c:numRef>
              <c:f>Arrhenius!$Q$77:$Q$78</c:f>
              <c:numCache>
                <c:formatCode>0.00</c:formatCode>
                <c:ptCount val="2"/>
                <c:pt idx="0">
                  <c:v>4.0998847425977161</c:v>
                </c:pt>
                <c:pt idx="1">
                  <c:v>3.2188758248682006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EC-4519-A8E4-5FEDCEF64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9308208"/>
        <c:axId val="1079311808"/>
      </c:scatterChart>
      <c:valAx>
        <c:axId val="1079308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1000/T, 1000K^-1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nb-N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79311808"/>
        <c:crosses val="autoZero"/>
        <c:crossBetween val="midCat"/>
      </c:valAx>
      <c:valAx>
        <c:axId val="1079311808"/>
        <c:scaling>
          <c:orientation val="minMax"/>
          <c:max val="6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Ln(k)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nb-N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79308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624840</xdr:colOff>
      <xdr:row>11</xdr:row>
      <xdr:rowOff>106680</xdr:rowOff>
    </xdr:from>
    <xdr:to>
      <xdr:col>7</xdr:col>
      <xdr:colOff>15240</xdr:colOff>
      <xdr:row>30</xdr:row>
      <xdr:rowOff>30480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6352D49C-610C-26CB-9218-D680E838E6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754380</xdr:colOff>
      <xdr:row>43</xdr:row>
      <xdr:rowOff>175260</xdr:rowOff>
    </xdr:from>
    <xdr:to>
      <xdr:col>7</xdr:col>
      <xdr:colOff>30480</xdr:colOff>
      <xdr:row>60</xdr:row>
      <xdr:rowOff>167640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6E3703B6-ED1B-9B57-9203-4AF3C8473E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7620</xdr:colOff>
      <xdr:row>11</xdr:row>
      <xdr:rowOff>163830</xdr:rowOff>
    </xdr:from>
    <xdr:to>
      <xdr:col>15</xdr:col>
      <xdr:colOff>144780</xdr:colOff>
      <xdr:row>30</xdr:row>
      <xdr:rowOff>7620</xdr:rowOff>
    </xdr:to>
    <xdr:graphicFrame macro="">
      <xdr:nvGraphicFramePr>
        <xdr:cNvPr id="7" name="Diagram 6">
          <a:extLst>
            <a:ext uri="{FF2B5EF4-FFF2-40B4-BE49-F238E27FC236}">
              <a16:creationId xmlns:a16="http://schemas.microsoft.com/office/drawing/2014/main" id="{F90712AB-3904-3905-C4C1-979B7CE4C9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7620</xdr:colOff>
      <xdr:row>44</xdr:row>
      <xdr:rowOff>3810</xdr:rowOff>
    </xdr:from>
    <xdr:to>
      <xdr:col>15</xdr:col>
      <xdr:colOff>53340</xdr:colOff>
      <xdr:row>61</xdr:row>
      <xdr:rowOff>30480</xdr:rowOff>
    </xdr:to>
    <xdr:graphicFrame macro="">
      <xdr:nvGraphicFramePr>
        <xdr:cNvPr id="8" name="Diagram 7">
          <a:extLst>
            <a:ext uri="{FF2B5EF4-FFF2-40B4-BE49-F238E27FC236}">
              <a16:creationId xmlns:a16="http://schemas.microsoft.com/office/drawing/2014/main" id="{640A1FED-AF75-CD48-5137-0AFAFD929B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676276</xdr:colOff>
      <xdr:row>12</xdr:row>
      <xdr:rowOff>131446</xdr:rowOff>
    </xdr:from>
    <xdr:to>
      <xdr:col>6</xdr:col>
      <xdr:colOff>1152525</xdr:colOff>
      <xdr:row>30</xdr:row>
      <xdr:rowOff>95251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6EB5C54A-3E40-C6E6-0E87-8DEB8AC834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777240</xdr:colOff>
      <xdr:row>42</xdr:row>
      <xdr:rowOff>19050</xdr:rowOff>
    </xdr:from>
    <xdr:to>
      <xdr:col>7</xdr:col>
      <xdr:colOff>220980</xdr:colOff>
      <xdr:row>59</xdr:row>
      <xdr:rowOff>106680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7F2A89F2-092E-151E-665B-A53AE91AAB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12</xdr:row>
      <xdr:rowOff>171450</xdr:rowOff>
    </xdr:from>
    <xdr:to>
      <xdr:col>15</xdr:col>
      <xdr:colOff>22860</xdr:colOff>
      <xdr:row>28</xdr:row>
      <xdr:rowOff>106680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7DF53FD4-942C-CC92-199C-424227F742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784860</xdr:colOff>
      <xdr:row>41</xdr:row>
      <xdr:rowOff>163830</xdr:rowOff>
    </xdr:from>
    <xdr:to>
      <xdr:col>15</xdr:col>
      <xdr:colOff>60960</xdr:colOff>
      <xdr:row>57</xdr:row>
      <xdr:rowOff>137160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0197E910-B8DB-2DCD-9CE5-AAB9491ECB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731520</xdr:colOff>
      <xdr:row>12</xdr:row>
      <xdr:rowOff>144780</xdr:rowOff>
    </xdr:from>
    <xdr:to>
      <xdr:col>7</xdr:col>
      <xdr:colOff>213360</xdr:colOff>
      <xdr:row>30</xdr:row>
      <xdr:rowOff>15240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B47FEC45-4562-7A2B-4840-12C6980624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716280</xdr:colOff>
      <xdr:row>41</xdr:row>
      <xdr:rowOff>152400</xdr:rowOff>
    </xdr:from>
    <xdr:to>
      <xdr:col>7</xdr:col>
      <xdr:colOff>0</xdr:colOff>
      <xdr:row>58</xdr:row>
      <xdr:rowOff>83820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9D358627-7367-77F7-257F-10BBBEC2B9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442999</xdr:colOff>
      <xdr:row>12</xdr:row>
      <xdr:rowOff>166600</xdr:rowOff>
    </xdr:from>
    <xdr:to>
      <xdr:col>14</xdr:col>
      <xdr:colOff>625879</xdr:colOff>
      <xdr:row>30</xdr:row>
      <xdr:rowOff>80010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D0B7B744-1EDB-C72B-43BE-F64A35FC8B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7620</xdr:colOff>
      <xdr:row>42</xdr:row>
      <xdr:rowOff>19050</xdr:rowOff>
    </xdr:from>
    <xdr:to>
      <xdr:col>15</xdr:col>
      <xdr:colOff>30480</xdr:colOff>
      <xdr:row>58</xdr:row>
      <xdr:rowOff>160020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DFAD1C00-9F15-E7BB-E481-0C85F3840C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638175</xdr:colOff>
      <xdr:row>18</xdr:row>
      <xdr:rowOff>85725</xdr:rowOff>
    </xdr:from>
    <xdr:to>
      <xdr:col>27</xdr:col>
      <xdr:colOff>57150</xdr:colOff>
      <xdr:row>39</xdr:row>
      <xdr:rowOff>9525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C7A42715-8C4D-A889-8A9C-B0725F1F59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567846</xdr:colOff>
      <xdr:row>40</xdr:row>
      <xdr:rowOff>46148</xdr:rowOff>
    </xdr:from>
    <xdr:to>
      <xdr:col>26</xdr:col>
      <xdr:colOff>719666</xdr:colOff>
      <xdr:row>61</xdr:row>
      <xdr:rowOff>221192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17ADB73A-567D-FD01-7D38-F5C77B2718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219075</xdr:colOff>
      <xdr:row>4</xdr:row>
      <xdr:rowOff>157942</xdr:rowOff>
    </xdr:from>
    <xdr:to>
      <xdr:col>6</xdr:col>
      <xdr:colOff>11257</xdr:colOff>
      <xdr:row>18</xdr:row>
      <xdr:rowOff>165735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866E1F22-385A-53CC-9FF0-10B61153F6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194136</xdr:colOff>
      <xdr:row>20</xdr:row>
      <xdr:rowOff>37927</xdr:rowOff>
    </xdr:from>
    <xdr:to>
      <xdr:col>5</xdr:col>
      <xdr:colOff>776893</xdr:colOff>
      <xdr:row>35</xdr:row>
      <xdr:rowOff>224963</xdr:rowOff>
    </xdr:to>
    <xdr:graphicFrame macro="">
      <xdr:nvGraphicFramePr>
        <xdr:cNvPr id="7" name="Diagram 6">
          <a:extLst>
            <a:ext uri="{FF2B5EF4-FFF2-40B4-BE49-F238E27FC236}">
              <a16:creationId xmlns:a16="http://schemas.microsoft.com/office/drawing/2014/main" id="{C89E21E9-BAC9-5FF5-9DA0-095ECDEB31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408631</xdr:colOff>
      <xdr:row>62</xdr:row>
      <xdr:rowOff>103101</xdr:rowOff>
    </xdr:from>
    <xdr:to>
      <xdr:col>27</xdr:col>
      <xdr:colOff>257174</xdr:colOff>
      <xdr:row>88</xdr:row>
      <xdr:rowOff>142875</xdr:rowOff>
    </xdr:to>
    <xdr:graphicFrame macro="">
      <xdr:nvGraphicFramePr>
        <xdr:cNvPr id="8" name="Diagram 7">
          <a:extLst>
            <a:ext uri="{FF2B5EF4-FFF2-40B4-BE49-F238E27FC236}">
              <a16:creationId xmlns:a16="http://schemas.microsoft.com/office/drawing/2014/main" id="{B7BEC8DC-E218-6F1F-6540-DAE35857E6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169238</xdr:colOff>
      <xdr:row>36</xdr:row>
      <xdr:rowOff>83512</xdr:rowOff>
    </xdr:from>
    <xdr:to>
      <xdr:col>6</xdr:col>
      <xdr:colOff>9044</xdr:colOff>
      <xdr:row>50</xdr:row>
      <xdr:rowOff>85244</xdr:rowOff>
    </xdr:to>
    <xdr:graphicFrame macro="">
      <xdr:nvGraphicFramePr>
        <xdr:cNvPr id="9" name="Diagram 8">
          <a:extLst>
            <a:ext uri="{FF2B5EF4-FFF2-40B4-BE49-F238E27FC236}">
              <a16:creationId xmlns:a16="http://schemas.microsoft.com/office/drawing/2014/main" id="{D93DC87A-1F27-6077-9962-002229D263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0C07F-69B3-46DC-B4AD-19C6A71AF39C}">
  <dimension ref="A1:O43"/>
  <sheetViews>
    <sheetView topLeftCell="A20" workbookViewId="0">
      <selection activeCell="B35" sqref="B35:G35"/>
    </sheetView>
  </sheetViews>
  <sheetFormatPr baseColWidth="10" defaultRowHeight="14.4" x14ac:dyDescent="0.3"/>
  <cols>
    <col min="2" max="2" width="14.33203125" customWidth="1"/>
    <col min="3" max="3" width="12.6640625" customWidth="1"/>
    <col min="4" max="4" width="14.5546875" customWidth="1"/>
    <col min="5" max="5" width="14.33203125" customWidth="1"/>
    <col min="6" max="6" width="13.33203125" customWidth="1"/>
    <col min="7" max="7" width="13.77734375" customWidth="1"/>
    <col min="10" max="10" width="14.5546875" customWidth="1"/>
    <col min="11" max="11" width="14" customWidth="1"/>
    <col min="12" max="12" width="13.6640625" customWidth="1"/>
    <col min="13" max="13" width="13.33203125" customWidth="1"/>
    <col min="14" max="14" width="13.88671875" customWidth="1"/>
    <col min="15" max="15" width="13.77734375" customWidth="1"/>
  </cols>
  <sheetData>
    <row r="1" spans="1:15" ht="15" thickBot="1" x14ac:dyDescent="0.35">
      <c r="B1" s="5"/>
      <c r="J1" s="5"/>
    </row>
    <row r="2" spans="1:15" ht="15" thickBot="1" x14ac:dyDescent="0.35">
      <c r="A2" s="6"/>
      <c r="B2" s="9" t="s">
        <v>1</v>
      </c>
      <c r="I2" s="6"/>
      <c r="J2" s="7" t="s">
        <v>11</v>
      </c>
    </row>
    <row r="3" spans="1:15" ht="28.8" x14ac:dyDescent="0.3">
      <c r="B3" s="20" t="s">
        <v>0</v>
      </c>
      <c r="C3" s="19" t="s">
        <v>47</v>
      </c>
      <c r="D3" s="19" t="s">
        <v>46</v>
      </c>
      <c r="E3" s="19" t="s">
        <v>45</v>
      </c>
      <c r="F3" s="19" t="s">
        <v>44</v>
      </c>
      <c r="G3" s="19" t="s">
        <v>43</v>
      </c>
      <c r="J3" s="23" t="s">
        <v>0</v>
      </c>
      <c r="K3" s="24" t="s">
        <v>47</v>
      </c>
      <c r="L3" s="24" t="s">
        <v>46</v>
      </c>
      <c r="M3" s="24" t="s">
        <v>45</v>
      </c>
      <c r="N3" s="24" t="s">
        <v>44</v>
      </c>
      <c r="O3" s="24" t="s">
        <v>43</v>
      </c>
    </row>
    <row r="4" spans="1:15" x14ac:dyDescent="0.3">
      <c r="B4" s="2">
        <v>20</v>
      </c>
      <c r="C4" s="25">
        <v>1460</v>
      </c>
      <c r="D4" s="25">
        <v>1130</v>
      </c>
      <c r="E4" s="25">
        <v>1150</v>
      </c>
      <c r="F4" s="25">
        <v>1130</v>
      </c>
      <c r="G4" s="25">
        <v>1010</v>
      </c>
      <c r="J4" s="26">
        <v>20</v>
      </c>
      <c r="K4" s="25">
        <v>1460</v>
      </c>
      <c r="L4" s="25">
        <v>669</v>
      </c>
      <c r="M4" s="25">
        <v>1100</v>
      </c>
      <c r="N4" s="25">
        <v>1350</v>
      </c>
      <c r="O4" s="26" t="s">
        <v>48</v>
      </c>
    </row>
    <row r="5" spans="1:15" x14ac:dyDescent="0.3">
      <c r="B5" s="2">
        <v>40</v>
      </c>
      <c r="C5" s="25">
        <v>1460</v>
      </c>
      <c r="D5" s="25">
        <v>710</v>
      </c>
      <c r="E5" s="25">
        <v>1100</v>
      </c>
      <c r="F5" s="25">
        <v>1280</v>
      </c>
      <c r="G5" s="25">
        <v>862</v>
      </c>
      <c r="J5" s="26">
        <v>40</v>
      </c>
      <c r="K5" s="25">
        <v>1460</v>
      </c>
      <c r="L5" s="25">
        <v>830</v>
      </c>
      <c r="M5" s="25">
        <v>1070</v>
      </c>
      <c r="N5" s="25">
        <v>1320</v>
      </c>
      <c r="O5" s="26" t="s">
        <v>48</v>
      </c>
    </row>
    <row r="6" spans="1:15" x14ac:dyDescent="0.3">
      <c r="B6" s="2">
        <v>60</v>
      </c>
      <c r="C6" s="25">
        <v>1460</v>
      </c>
      <c r="D6" s="25">
        <v>1310</v>
      </c>
      <c r="E6" s="25" t="s">
        <v>48</v>
      </c>
      <c r="F6" s="25" t="s">
        <v>48</v>
      </c>
      <c r="G6" s="25" t="s">
        <v>48</v>
      </c>
      <c r="J6" s="26">
        <v>60</v>
      </c>
      <c r="K6" s="25">
        <v>1460</v>
      </c>
      <c r="L6" s="25">
        <v>815</v>
      </c>
      <c r="M6" s="25" t="s">
        <v>48</v>
      </c>
      <c r="N6" s="25" t="s">
        <v>48</v>
      </c>
      <c r="O6" s="26" t="s">
        <v>48</v>
      </c>
    </row>
    <row r="8" spans="1:15" x14ac:dyDescent="0.3">
      <c r="C8" s="22" t="s">
        <v>12</v>
      </c>
      <c r="D8" s="22" t="s">
        <v>13</v>
      </c>
      <c r="E8" s="22" t="s">
        <v>14</v>
      </c>
      <c r="F8" s="22" t="s">
        <v>15</v>
      </c>
      <c r="G8" s="22" t="s">
        <v>10</v>
      </c>
      <c r="K8" s="22" t="s">
        <v>4</v>
      </c>
      <c r="L8" s="22" t="s">
        <v>5</v>
      </c>
      <c r="M8" s="22" t="s">
        <v>16</v>
      </c>
      <c r="N8" s="22" t="s">
        <v>7</v>
      </c>
      <c r="O8" s="22" t="s">
        <v>10</v>
      </c>
    </row>
    <row r="9" spans="1:15" x14ac:dyDescent="0.3">
      <c r="C9" s="25">
        <v>94</v>
      </c>
      <c r="D9" s="25">
        <v>140.5</v>
      </c>
      <c r="E9" s="25">
        <v>176</v>
      </c>
      <c r="F9" s="25">
        <v>151</v>
      </c>
      <c r="G9" s="25">
        <v>171</v>
      </c>
      <c r="K9" s="3">
        <v>94</v>
      </c>
      <c r="L9" s="3">
        <v>80.5</v>
      </c>
      <c r="M9" s="3">
        <v>197</v>
      </c>
      <c r="N9" s="3">
        <v>29.35</v>
      </c>
      <c r="O9" s="3">
        <v>0</v>
      </c>
    </row>
    <row r="10" spans="1:15" x14ac:dyDescent="0.3">
      <c r="C10" s="25">
        <v>94</v>
      </c>
      <c r="D10" s="25">
        <v>140</v>
      </c>
      <c r="E10" s="25">
        <v>136</v>
      </c>
      <c r="F10" s="25">
        <v>37.4</v>
      </c>
      <c r="G10" s="25">
        <v>81.5</v>
      </c>
      <c r="K10" s="3">
        <v>94</v>
      </c>
      <c r="L10" s="3">
        <v>125</v>
      </c>
      <c r="M10" s="3">
        <v>176.5</v>
      </c>
      <c r="N10" s="3">
        <v>47.3</v>
      </c>
      <c r="O10" s="3">
        <v>0</v>
      </c>
    </row>
    <row r="11" spans="1:15" x14ac:dyDescent="0.3">
      <c r="C11" s="25">
        <v>94</v>
      </c>
      <c r="D11" s="25">
        <v>70.5</v>
      </c>
      <c r="E11" s="25">
        <v>0</v>
      </c>
      <c r="F11" s="25">
        <v>0</v>
      </c>
      <c r="G11" s="25">
        <v>0</v>
      </c>
      <c r="K11" s="3">
        <v>94</v>
      </c>
      <c r="L11" s="3">
        <v>271</v>
      </c>
      <c r="M11" s="3">
        <v>0</v>
      </c>
      <c r="N11" s="3">
        <v>0</v>
      </c>
      <c r="O11" s="3">
        <v>0</v>
      </c>
    </row>
    <row r="26" spans="3:4" x14ac:dyDescent="0.3">
      <c r="C26" s="1"/>
      <c r="D26" s="1"/>
    </row>
    <row r="27" spans="3:4" x14ac:dyDescent="0.3">
      <c r="C27" s="1"/>
      <c r="D27" s="1"/>
    </row>
    <row r="33" spans="1:15" ht="15" thickBot="1" x14ac:dyDescent="0.35">
      <c r="B33" s="5"/>
    </row>
    <row r="34" spans="1:15" ht="15" thickBot="1" x14ac:dyDescent="0.35">
      <c r="A34" s="6"/>
      <c r="B34" s="8" t="s">
        <v>49</v>
      </c>
      <c r="J34" s="8" t="s">
        <v>11</v>
      </c>
    </row>
    <row r="35" spans="1:15" ht="28.8" x14ac:dyDescent="0.3">
      <c r="B35" s="20" t="s">
        <v>3</v>
      </c>
      <c r="C35" s="19" t="s">
        <v>50</v>
      </c>
      <c r="D35" s="19" t="s">
        <v>51</v>
      </c>
      <c r="E35" s="19" t="s">
        <v>52</v>
      </c>
      <c r="F35" s="19" t="s">
        <v>53</v>
      </c>
      <c r="G35" s="19" t="s">
        <v>54</v>
      </c>
      <c r="J35" s="20" t="s">
        <v>3</v>
      </c>
      <c r="K35" s="19" t="s">
        <v>50</v>
      </c>
      <c r="L35" s="19" t="s">
        <v>51</v>
      </c>
      <c r="M35" s="19" t="s">
        <v>52</v>
      </c>
      <c r="N35" s="19" t="s">
        <v>53</v>
      </c>
      <c r="O35" s="19" t="s">
        <v>54</v>
      </c>
    </row>
    <row r="36" spans="1:15" x14ac:dyDescent="0.3">
      <c r="B36" s="26">
        <v>20</v>
      </c>
      <c r="C36" s="25">
        <v>12.3</v>
      </c>
      <c r="D36" s="25">
        <v>24.1</v>
      </c>
      <c r="E36" s="25">
        <v>37.200000000000003</v>
      </c>
      <c r="F36" s="25">
        <v>28.4</v>
      </c>
      <c r="G36" s="25">
        <v>30.5</v>
      </c>
      <c r="J36" s="26">
        <v>20</v>
      </c>
      <c r="K36" s="25">
        <v>12.3</v>
      </c>
      <c r="L36" s="25">
        <v>15</v>
      </c>
      <c r="M36" s="25">
        <v>14.9</v>
      </c>
      <c r="N36" s="25">
        <v>33.1</v>
      </c>
      <c r="O36" s="26" t="s">
        <v>48</v>
      </c>
    </row>
    <row r="37" spans="1:15" x14ac:dyDescent="0.3">
      <c r="B37" s="26">
        <v>40</v>
      </c>
      <c r="C37" s="25">
        <v>12.3</v>
      </c>
      <c r="D37" s="25">
        <v>42.1</v>
      </c>
      <c r="E37" s="25">
        <v>34.4</v>
      </c>
      <c r="F37" s="25">
        <v>24.1</v>
      </c>
      <c r="G37" s="25">
        <v>17.7</v>
      </c>
      <c r="J37" s="26">
        <v>40</v>
      </c>
      <c r="K37" s="25">
        <v>12.3</v>
      </c>
      <c r="L37" s="25">
        <v>30.4</v>
      </c>
      <c r="M37" s="25">
        <v>26</v>
      </c>
      <c r="N37" s="25">
        <v>35.799999999999997</v>
      </c>
      <c r="O37" s="26" t="s">
        <v>48</v>
      </c>
    </row>
    <row r="38" spans="1:15" x14ac:dyDescent="0.3">
      <c r="B38" s="26">
        <v>60</v>
      </c>
      <c r="C38" s="25">
        <v>12.3</v>
      </c>
      <c r="D38" s="25">
        <v>9.1</v>
      </c>
      <c r="E38" s="25" t="s">
        <v>48</v>
      </c>
      <c r="F38" s="25" t="s">
        <v>48</v>
      </c>
      <c r="G38" s="25" t="s">
        <v>48</v>
      </c>
      <c r="J38" s="26">
        <v>60</v>
      </c>
      <c r="K38" s="25">
        <v>12.3</v>
      </c>
      <c r="L38" s="25">
        <v>7.43</v>
      </c>
      <c r="M38" s="25" t="s">
        <v>48</v>
      </c>
      <c r="N38" s="27" t="s">
        <v>48</v>
      </c>
      <c r="O38" s="26" t="s">
        <v>48</v>
      </c>
    </row>
    <row r="40" spans="1:15" x14ac:dyDescent="0.3">
      <c r="C40" s="24" t="s">
        <v>4</v>
      </c>
      <c r="D40" s="24" t="s">
        <v>17</v>
      </c>
      <c r="E40" s="24" t="s">
        <v>16</v>
      </c>
      <c r="F40" s="24" t="s">
        <v>15</v>
      </c>
      <c r="G40" s="24" t="s">
        <v>10</v>
      </c>
      <c r="K40" s="18" t="s">
        <v>4</v>
      </c>
      <c r="L40" s="18" t="s">
        <v>17</v>
      </c>
      <c r="M40" s="18" t="s">
        <v>16</v>
      </c>
      <c r="N40" s="18" t="s">
        <v>15</v>
      </c>
      <c r="O40" s="18" t="s">
        <v>10</v>
      </c>
    </row>
    <row r="41" spans="1:15" x14ac:dyDescent="0.3">
      <c r="C41" s="25">
        <v>1.81</v>
      </c>
      <c r="D41" s="25">
        <v>2.66</v>
      </c>
      <c r="E41" s="25">
        <v>10.25</v>
      </c>
      <c r="F41" s="25">
        <v>5.3</v>
      </c>
      <c r="G41" s="25">
        <v>7.25</v>
      </c>
      <c r="K41" s="3">
        <v>1.81</v>
      </c>
      <c r="L41" s="3">
        <v>4.03</v>
      </c>
      <c r="M41" s="3">
        <v>2.4</v>
      </c>
      <c r="N41" s="3">
        <v>3.92</v>
      </c>
      <c r="O41" s="3">
        <v>0</v>
      </c>
    </row>
    <row r="42" spans="1:15" x14ac:dyDescent="0.3">
      <c r="C42" s="25">
        <v>1.81</v>
      </c>
      <c r="D42" s="25">
        <v>7.95</v>
      </c>
      <c r="E42" s="25">
        <v>4.38</v>
      </c>
      <c r="F42" s="25">
        <v>7</v>
      </c>
      <c r="G42" s="25">
        <v>5.2</v>
      </c>
      <c r="K42" s="3">
        <v>1.81</v>
      </c>
      <c r="L42" s="3">
        <v>6.45</v>
      </c>
      <c r="M42" s="3">
        <v>2.09</v>
      </c>
      <c r="N42" s="3">
        <v>9.4</v>
      </c>
      <c r="O42" s="3">
        <v>0</v>
      </c>
    </row>
    <row r="43" spans="1:15" x14ac:dyDescent="0.3">
      <c r="C43" s="25">
        <v>1.81</v>
      </c>
      <c r="D43" s="25">
        <v>0.5</v>
      </c>
      <c r="E43" s="25">
        <v>0</v>
      </c>
      <c r="F43" s="25">
        <v>0</v>
      </c>
      <c r="G43" s="25">
        <v>0</v>
      </c>
      <c r="K43" s="3">
        <v>1.81</v>
      </c>
      <c r="L43" s="3">
        <v>0.98</v>
      </c>
      <c r="M43" s="3">
        <v>0</v>
      </c>
      <c r="N43" s="3">
        <v>0</v>
      </c>
      <c r="O43" s="3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D763A-3706-48EE-BB29-C3EDDFD2CEA4}">
  <dimension ref="A2:O41"/>
  <sheetViews>
    <sheetView topLeftCell="A14" zoomScale="80" zoomScaleNormal="80" workbookViewId="0">
      <selection activeCell="G33" sqref="B33:G33"/>
    </sheetView>
  </sheetViews>
  <sheetFormatPr baseColWidth="10" defaultRowHeight="14.4" x14ac:dyDescent="0.3"/>
  <cols>
    <col min="2" max="2" width="14.5546875" customWidth="1"/>
    <col min="3" max="3" width="14.77734375" customWidth="1"/>
    <col min="4" max="4" width="15.5546875" customWidth="1"/>
    <col min="5" max="6" width="15.21875" customWidth="1"/>
    <col min="7" max="7" width="13.77734375" customWidth="1"/>
    <col min="10" max="10" width="14.33203125" customWidth="1"/>
    <col min="11" max="11" width="14.21875" customWidth="1"/>
    <col min="12" max="12" width="14.33203125" customWidth="1"/>
    <col min="13" max="13" width="14.88671875" customWidth="1"/>
    <col min="14" max="14" width="14.6640625" customWidth="1"/>
    <col min="15" max="15" width="15.6640625" customWidth="1"/>
  </cols>
  <sheetData>
    <row r="2" spans="1:15" ht="15" thickBot="1" x14ac:dyDescent="0.35">
      <c r="B2" s="5"/>
    </row>
    <row r="3" spans="1:15" ht="15" thickBot="1" x14ac:dyDescent="0.35">
      <c r="A3" s="6"/>
      <c r="B3" s="10" t="s">
        <v>2</v>
      </c>
      <c r="I3" s="6"/>
      <c r="J3" s="11" t="s">
        <v>18</v>
      </c>
    </row>
    <row r="4" spans="1:15" ht="28.8" x14ac:dyDescent="0.3">
      <c r="B4" s="20" t="s">
        <v>0</v>
      </c>
      <c r="C4" s="19" t="s">
        <v>47</v>
      </c>
      <c r="D4" s="19" t="s">
        <v>46</v>
      </c>
      <c r="E4" s="19" t="s">
        <v>45</v>
      </c>
      <c r="F4" s="19" t="s">
        <v>44</v>
      </c>
      <c r="G4" s="19" t="s">
        <v>43</v>
      </c>
      <c r="J4" s="20" t="s">
        <v>0</v>
      </c>
      <c r="K4" s="19" t="s">
        <v>47</v>
      </c>
      <c r="L4" s="19" t="s">
        <v>46</v>
      </c>
      <c r="M4" s="19" t="s">
        <v>45</v>
      </c>
      <c r="N4" s="19" t="s">
        <v>44</v>
      </c>
      <c r="O4" s="19" t="s">
        <v>43</v>
      </c>
    </row>
    <row r="5" spans="1:15" x14ac:dyDescent="0.3">
      <c r="B5" s="26">
        <v>20</v>
      </c>
      <c r="C5" s="25">
        <v>862</v>
      </c>
      <c r="D5" s="25">
        <v>771</v>
      </c>
      <c r="E5" s="25">
        <v>895</v>
      </c>
      <c r="F5" s="25">
        <v>827</v>
      </c>
      <c r="G5" s="25">
        <v>485</v>
      </c>
      <c r="J5" s="26">
        <v>20</v>
      </c>
      <c r="K5" s="25">
        <v>862</v>
      </c>
      <c r="L5" s="25">
        <v>645</v>
      </c>
      <c r="M5" s="25">
        <v>820</v>
      </c>
      <c r="N5" s="25">
        <v>863</v>
      </c>
      <c r="O5" s="25" t="s">
        <v>48</v>
      </c>
    </row>
    <row r="6" spans="1:15" x14ac:dyDescent="0.3">
      <c r="B6" s="26">
        <v>40</v>
      </c>
      <c r="C6" s="25">
        <v>862</v>
      </c>
      <c r="D6" s="25">
        <v>776</v>
      </c>
      <c r="E6" s="25">
        <v>825</v>
      </c>
      <c r="F6" s="25">
        <v>804</v>
      </c>
      <c r="G6" s="25">
        <v>526</v>
      </c>
      <c r="J6" s="26">
        <v>40</v>
      </c>
      <c r="K6" s="25">
        <v>862</v>
      </c>
      <c r="L6" s="25">
        <v>565</v>
      </c>
      <c r="M6" s="25">
        <v>790</v>
      </c>
      <c r="N6" s="25">
        <v>913</v>
      </c>
      <c r="O6" s="25" t="s">
        <v>48</v>
      </c>
    </row>
    <row r="7" spans="1:15" x14ac:dyDescent="0.3">
      <c r="B7" s="26">
        <v>60</v>
      </c>
      <c r="C7" s="25">
        <v>862</v>
      </c>
      <c r="D7" s="25">
        <v>515</v>
      </c>
      <c r="E7" s="25">
        <v>768</v>
      </c>
      <c r="F7" s="25">
        <v>735</v>
      </c>
      <c r="G7" s="25">
        <v>817</v>
      </c>
      <c r="J7" s="26">
        <v>60</v>
      </c>
      <c r="K7" s="25">
        <v>862</v>
      </c>
      <c r="L7" s="25">
        <v>665</v>
      </c>
      <c r="M7" s="25">
        <v>824</v>
      </c>
      <c r="N7" s="25">
        <v>830</v>
      </c>
      <c r="O7" s="25" t="s">
        <v>48</v>
      </c>
    </row>
    <row r="9" spans="1:15" x14ac:dyDescent="0.3">
      <c r="C9" s="18" t="s">
        <v>4</v>
      </c>
      <c r="D9" s="18" t="s">
        <v>5</v>
      </c>
      <c r="E9" s="18" t="s">
        <v>6</v>
      </c>
      <c r="F9" s="18" t="s">
        <v>7</v>
      </c>
      <c r="G9" s="18" t="s">
        <v>8</v>
      </c>
      <c r="K9" s="18" t="s">
        <v>4</v>
      </c>
      <c r="L9" s="18" t="s">
        <v>5</v>
      </c>
      <c r="M9" s="18" t="s">
        <v>6</v>
      </c>
      <c r="N9" s="18" t="s">
        <v>7</v>
      </c>
      <c r="O9" s="18" t="s">
        <v>8</v>
      </c>
    </row>
    <row r="10" spans="1:15" x14ac:dyDescent="0.3">
      <c r="C10" s="25">
        <v>7.45</v>
      </c>
      <c r="D10" s="26">
        <v>5.75</v>
      </c>
      <c r="E10" s="25">
        <v>61.5</v>
      </c>
      <c r="F10" s="26">
        <v>12.35</v>
      </c>
      <c r="G10" s="25">
        <v>17.75</v>
      </c>
      <c r="K10" s="25">
        <v>7.45</v>
      </c>
      <c r="L10" s="25">
        <v>63</v>
      </c>
      <c r="M10" s="26">
        <v>3.96</v>
      </c>
      <c r="N10" s="26">
        <v>10.85</v>
      </c>
      <c r="O10" s="25">
        <v>0</v>
      </c>
    </row>
    <row r="11" spans="1:15" x14ac:dyDescent="0.3">
      <c r="C11" s="25">
        <v>7.45</v>
      </c>
      <c r="D11" s="26">
        <v>14.25</v>
      </c>
      <c r="E11" s="26">
        <v>9.4499999999999993</v>
      </c>
      <c r="F11" s="26">
        <v>16.05</v>
      </c>
      <c r="G11" s="25">
        <v>9</v>
      </c>
      <c r="K11" s="25">
        <v>7.45</v>
      </c>
      <c r="L11" s="25">
        <v>75</v>
      </c>
      <c r="M11" s="26">
        <v>26.85</v>
      </c>
      <c r="N11" s="25">
        <v>73</v>
      </c>
      <c r="O11" s="25">
        <v>0</v>
      </c>
    </row>
    <row r="12" spans="1:15" x14ac:dyDescent="0.3">
      <c r="C12" s="25">
        <v>7.45</v>
      </c>
      <c r="D12" s="25">
        <v>88</v>
      </c>
      <c r="E12" s="26">
        <v>8.5500000000000007</v>
      </c>
      <c r="F12" s="25">
        <v>102</v>
      </c>
      <c r="G12" s="25">
        <v>15.85</v>
      </c>
      <c r="K12" s="25">
        <v>7.45</v>
      </c>
      <c r="L12" s="25">
        <v>92.5</v>
      </c>
      <c r="M12" s="25">
        <v>10.1</v>
      </c>
      <c r="N12" s="25">
        <v>11.4</v>
      </c>
      <c r="O12" s="25">
        <v>0</v>
      </c>
    </row>
    <row r="14" spans="1:15" ht="15" thickBot="1" x14ac:dyDescent="0.35">
      <c r="B14" s="5"/>
    </row>
    <row r="15" spans="1:15" x14ac:dyDescent="0.3">
      <c r="A15" s="6"/>
    </row>
    <row r="31" spans="2:10" ht="15" thickBot="1" x14ac:dyDescent="0.35"/>
    <row r="32" spans="2:10" ht="15" thickBot="1" x14ac:dyDescent="0.35">
      <c r="B32" s="8" t="s">
        <v>2</v>
      </c>
      <c r="J32" s="8" t="s">
        <v>18</v>
      </c>
    </row>
    <row r="33" spans="2:15" ht="28.8" x14ac:dyDescent="0.3">
      <c r="B33" s="20" t="s">
        <v>3</v>
      </c>
      <c r="C33" s="19" t="s">
        <v>50</v>
      </c>
      <c r="D33" s="19" t="s">
        <v>51</v>
      </c>
      <c r="E33" s="19" t="s">
        <v>52</v>
      </c>
      <c r="F33" s="19" t="s">
        <v>53</v>
      </c>
      <c r="G33" s="19" t="s">
        <v>54</v>
      </c>
      <c r="J33" s="20" t="s">
        <v>3</v>
      </c>
      <c r="K33" s="19" t="s">
        <v>50</v>
      </c>
      <c r="L33" s="19" t="s">
        <v>51</v>
      </c>
      <c r="M33" s="19" t="s">
        <v>52</v>
      </c>
      <c r="N33" s="19" t="s">
        <v>53</v>
      </c>
      <c r="O33" s="19" t="s">
        <v>54</v>
      </c>
    </row>
    <row r="34" spans="2:15" x14ac:dyDescent="0.3">
      <c r="B34" s="26">
        <v>20</v>
      </c>
      <c r="C34" s="25">
        <v>11.2</v>
      </c>
      <c r="D34" s="25">
        <v>16.8</v>
      </c>
      <c r="E34" s="25">
        <v>43.1</v>
      </c>
      <c r="F34" s="25">
        <v>12.7</v>
      </c>
      <c r="G34" s="25">
        <v>21.9</v>
      </c>
      <c r="J34" s="26">
        <v>20</v>
      </c>
      <c r="K34" s="25">
        <v>11.2</v>
      </c>
      <c r="L34" s="25">
        <v>13.3</v>
      </c>
      <c r="M34" s="25">
        <v>11.9</v>
      </c>
      <c r="N34" s="25">
        <v>12.4</v>
      </c>
      <c r="O34" s="26" t="s">
        <v>48</v>
      </c>
    </row>
    <row r="35" spans="2:15" x14ac:dyDescent="0.3">
      <c r="B35" s="26">
        <v>40</v>
      </c>
      <c r="C35" s="25">
        <v>11.2</v>
      </c>
      <c r="D35" s="25">
        <v>12.5</v>
      </c>
      <c r="E35" s="25">
        <v>11.3</v>
      </c>
      <c r="F35" s="25">
        <v>13.3</v>
      </c>
      <c r="G35" s="26">
        <v>8.9600000000000009</v>
      </c>
      <c r="J35" s="26">
        <v>40</v>
      </c>
      <c r="K35" s="25">
        <v>11.2</v>
      </c>
      <c r="L35" s="25">
        <v>13.3</v>
      </c>
      <c r="M35" s="25">
        <v>13.1</v>
      </c>
      <c r="N35" s="25">
        <v>12.3</v>
      </c>
      <c r="O35" s="26" t="s">
        <v>48</v>
      </c>
    </row>
    <row r="36" spans="2:15" x14ac:dyDescent="0.3">
      <c r="B36" s="26">
        <v>60</v>
      </c>
      <c r="C36" s="25">
        <v>11.2</v>
      </c>
      <c r="D36" s="25">
        <v>68.099999999999994</v>
      </c>
      <c r="E36" s="25">
        <v>34.6</v>
      </c>
      <c r="F36" s="25">
        <v>19.3</v>
      </c>
      <c r="G36" s="25">
        <v>17.899999999999999</v>
      </c>
      <c r="J36" s="26">
        <v>60</v>
      </c>
      <c r="K36" s="25">
        <v>11.2</v>
      </c>
      <c r="L36" s="25">
        <v>25.7</v>
      </c>
      <c r="M36" s="25">
        <v>13</v>
      </c>
      <c r="N36" s="27">
        <v>16.3</v>
      </c>
      <c r="O36" s="26" t="s">
        <v>48</v>
      </c>
    </row>
    <row r="38" spans="2:15" x14ac:dyDescent="0.3">
      <c r="C38" s="18" t="s">
        <v>4</v>
      </c>
      <c r="D38" s="18" t="s">
        <v>5</v>
      </c>
      <c r="E38" s="18" t="s">
        <v>6</v>
      </c>
      <c r="F38" s="18" t="s">
        <v>7</v>
      </c>
      <c r="G38" s="18" t="s">
        <v>10</v>
      </c>
      <c r="K38" s="18" t="s">
        <v>4</v>
      </c>
      <c r="L38" s="18" t="s">
        <v>5</v>
      </c>
      <c r="M38" s="18" t="s">
        <v>6</v>
      </c>
      <c r="N38" s="18" t="s">
        <v>7</v>
      </c>
      <c r="O38" s="18" t="s">
        <v>10</v>
      </c>
    </row>
    <row r="39" spans="2:15" x14ac:dyDescent="0.3">
      <c r="C39" s="25">
        <v>0.09</v>
      </c>
      <c r="D39" s="25">
        <v>5.4</v>
      </c>
      <c r="E39" s="25">
        <v>23.55</v>
      </c>
      <c r="F39" s="25">
        <v>0.45</v>
      </c>
      <c r="G39" s="25">
        <v>14.5</v>
      </c>
      <c r="K39" s="25">
        <v>0.09</v>
      </c>
      <c r="L39" s="25">
        <v>0.3</v>
      </c>
      <c r="M39" s="25">
        <v>0.42</v>
      </c>
      <c r="N39" s="25">
        <v>0.32</v>
      </c>
      <c r="O39" s="25">
        <v>0</v>
      </c>
    </row>
    <row r="40" spans="2:15" x14ac:dyDescent="0.3">
      <c r="C40" s="25">
        <v>0.09</v>
      </c>
      <c r="D40" s="25">
        <v>0.33</v>
      </c>
      <c r="E40" s="25">
        <v>0.15</v>
      </c>
      <c r="F40" s="25">
        <v>0.15</v>
      </c>
      <c r="G40" s="25">
        <v>0.32</v>
      </c>
      <c r="K40" s="25">
        <v>0.09</v>
      </c>
      <c r="L40" s="25">
        <v>0.27</v>
      </c>
      <c r="M40" s="25">
        <v>0.23</v>
      </c>
      <c r="N40" s="25">
        <v>0.3</v>
      </c>
      <c r="O40" s="25">
        <v>0</v>
      </c>
    </row>
    <row r="41" spans="2:15" x14ac:dyDescent="0.3">
      <c r="C41" s="25">
        <v>0.09</v>
      </c>
      <c r="D41" s="25">
        <v>48.1</v>
      </c>
      <c r="E41" s="25">
        <v>24.75</v>
      </c>
      <c r="F41" s="25">
        <v>5.5</v>
      </c>
      <c r="G41" s="25">
        <v>6.6</v>
      </c>
      <c r="K41" s="25">
        <v>0.09</v>
      </c>
      <c r="L41" s="25">
        <v>8.1999999999999993</v>
      </c>
      <c r="M41" s="25">
        <v>0.45</v>
      </c>
      <c r="N41" s="25">
        <v>4.83</v>
      </c>
      <c r="O41" s="25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56637-E9D3-4CDA-90C1-8D4C812DD180}">
  <dimension ref="A2:W41"/>
  <sheetViews>
    <sheetView zoomScale="88" zoomScaleNormal="80" workbookViewId="0">
      <selection activeCell="H35" sqref="H35"/>
    </sheetView>
  </sheetViews>
  <sheetFormatPr baseColWidth="10" defaultRowHeight="14.4" x14ac:dyDescent="0.3"/>
  <cols>
    <col min="2" max="2" width="15.88671875" customWidth="1"/>
    <col min="3" max="3" width="14.5546875" customWidth="1"/>
    <col min="4" max="4" width="13.6640625" customWidth="1"/>
    <col min="5" max="5" width="13.44140625" customWidth="1"/>
    <col min="6" max="6" width="14" customWidth="1"/>
    <col min="7" max="7" width="13.6640625" customWidth="1"/>
    <col min="10" max="11" width="14.109375" customWidth="1"/>
    <col min="12" max="12" width="13.77734375" customWidth="1"/>
    <col min="13" max="13" width="14" customWidth="1"/>
    <col min="14" max="14" width="13.6640625" customWidth="1"/>
    <col min="15" max="15" width="15.77734375" customWidth="1"/>
    <col min="18" max="18" width="15.44140625" customWidth="1"/>
    <col min="19" max="19" width="15.33203125" customWidth="1"/>
  </cols>
  <sheetData>
    <row r="2" spans="1:23" ht="15" thickBot="1" x14ac:dyDescent="0.35">
      <c r="B2" s="5"/>
      <c r="J2" s="5"/>
    </row>
    <row r="3" spans="1:23" ht="15" thickBot="1" x14ac:dyDescent="0.35">
      <c r="A3" s="6"/>
      <c r="B3" s="7" t="s">
        <v>9</v>
      </c>
      <c r="I3" s="6"/>
      <c r="J3" s="10" t="s">
        <v>19</v>
      </c>
    </row>
    <row r="4" spans="1:23" ht="28.8" x14ac:dyDescent="0.3">
      <c r="B4" s="20" t="s">
        <v>0</v>
      </c>
      <c r="C4" s="19" t="s">
        <v>47</v>
      </c>
      <c r="D4" s="19" t="s">
        <v>46</v>
      </c>
      <c r="E4" s="19" t="s">
        <v>45</v>
      </c>
      <c r="F4" s="19" t="s">
        <v>44</v>
      </c>
      <c r="G4" s="19" t="s">
        <v>43</v>
      </c>
      <c r="J4" s="20" t="s">
        <v>0</v>
      </c>
      <c r="K4" s="19" t="s">
        <v>47</v>
      </c>
      <c r="L4" s="19" t="s">
        <v>46</v>
      </c>
      <c r="M4" s="19" t="s">
        <v>45</v>
      </c>
      <c r="N4" s="19" t="s">
        <v>44</v>
      </c>
      <c r="O4" s="19" t="s">
        <v>43</v>
      </c>
    </row>
    <row r="5" spans="1:23" x14ac:dyDescent="0.3">
      <c r="B5" s="26">
        <v>20</v>
      </c>
      <c r="C5" s="25">
        <v>1030</v>
      </c>
      <c r="D5" s="25">
        <v>846</v>
      </c>
      <c r="E5" s="25">
        <v>844</v>
      </c>
      <c r="F5" s="25">
        <v>931</v>
      </c>
      <c r="G5" s="25">
        <v>504</v>
      </c>
      <c r="J5" s="26">
        <v>20</v>
      </c>
      <c r="K5" s="25">
        <v>1030</v>
      </c>
      <c r="L5" s="25">
        <v>852</v>
      </c>
      <c r="M5" s="25">
        <v>935</v>
      </c>
      <c r="N5" s="25">
        <v>1020</v>
      </c>
      <c r="O5" s="28">
        <v>1060</v>
      </c>
    </row>
    <row r="6" spans="1:23" x14ac:dyDescent="0.3">
      <c r="B6" s="26">
        <v>40</v>
      </c>
      <c r="C6" s="25">
        <v>1030</v>
      </c>
      <c r="D6" s="25">
        <v>863</v>
      </c>
      <c r="E6" s="25">
        <v>912</v>
      </c>
      <c r="F6" s="25">
        <v>923</v>
      </c>
      <c r="G6" s="25">
        <v>618</v>
      </c>
      <c r="J6" s="26">
        <v>40</v>
      </c>
      <c r="K6" s="25">
        <v>1030</v>
      </c>
      <c r="L6" s="25">
        <v>849</v>
      </c>
      <c r="M6" s="25">
        <v>895</v>
      </c>
      <c r="N6" s="25">
        <v>929</v>
      </c>
      <c r="O6" s="28">
        <v>760</v>
      </c>
    </row>
    <row r="7" spans="1:23" x14ac:dyDescent="0.3">
      <c r="B7" s="26">
        <v>60</v>
      </c>
      <c r="C7" s="25">
        <v>1030</v>
      </c>
      <c r="D7" s="25">
        <v>882</v>
      </c>
      <c r="E7" s="25">
        <v>902</v>
      </c>
      <c r="F7" s="27">
        <v>959</v>
      </c>
      <c r="G7" s="25">
        <v>979</v>
      </c>
      <c r="J7" s="26">
        <v>60</v>
      </c>
      <c r="K7" s="25">
        <v>1030</v>
      </c>
      <c r="L7" s="25">
        <v>955</v>
      </c>
      <c r="M7" s="25">
        <v>910</v>
      </c>
      <c r="N7" s="25">
        <v>885</v>
      </c>
      <c r="O7" s="28">
        <v>766</v>
      </c>
    </row>
    <row r="9" spans="1:23" x14ac:dyDescent="0.3">
      <c r="C9" s="18" t="s">
        <v>4</v>
      </c>
      <c r="D9" s="18" t="s">
        <v>5</v>
      </c>
      <c r="E9" s="18" t="s">
        <v>6</v>
      </c>
      <c r="F9" s="18" t="s">
        <v>15</v>
      </c>
      <c r="G9" s="18" t="s">
        <v>8</v>
      </c>
      <c r="K9" s="18" t="s">
        <v>20</v>
      </c>
      <c r="L9" s="18" t="s">
        <v>5</v>
      </c>
      <c r="M9" s="18" t="s">
        <v>16</v>
      </c>
      <c r="N9" s="18" t="s">
        <v>15</v>
      </c>
      <c r="O9" s="18" t="s">
        <v>10</v>
      </c>
    </row>
    <row r="10" spans="1:23" x14ac:dyDescent="0.3">
      <c r="C10" s="25">
        <v>38.299999999999997</v>
      </c>
      <c r="D10" s="25">
        <v>17.2</v>
      </c>
      <c r="E10" s="25">
        <v>18.399999999999999</v>
      </c>
      <c r="F10" s="25">
        <v>27.95</v>
      </c>
      <c r="G10" s="25">
        <v>84.5</v>
      </c>
      <c r="K10" s="25">
        <v>38.299999999999997</v>
      </c>
      <c r="L10" s="25">
        <v>7.65</v>
      </c>
      <c r="M10" s="25">
        <v>28</v>
      </c>
      <c r="N10" s="25">
        <v>66.5</v>
      </c>
      <c r="O10" s="25">
        <v>0</v>
      </c>
      <c r="W10" s="12"/>
    </row>
    <row r="11" spans="1:23" x14ac:dyDescent="0.3">
      <c r="C11" s="25">
        <v>38.299999999999997</v>
      </c>
      <c r="D11" s="25">
        <v>40.65</v>
      </c>
      <c r="E11" s="25">
        <v>16.45</v>
      </c>
      <c r="F11" s="25">
        <v>33.35</v>
      </c>
      <c r="G11" s="25">
        <v>98</v>
      </c>
      <c r="K11" s="25">
        <v>38.299999999999997</v>
      </c>
      <c r="L11" s="25">
        <v>24.7</v>
      </c>
      <c r="M11" s="25">
        <v>9.75</v>
      </c>
      <c r="N11" s="25">
        <v>56</v>
      </c>
      <c r="O11" s="25">
        <v>0</v>
      </c>
      <c r="R11" s="21"/>
      <c r="S11" s="21"/>
      <c r="T11" s="21"/>
      <c r="U11" s="21"/>
      <c r="V11" s="21"/>
      <c r="W11" s="29"/>
    </row>
    <row r="12" spans="1:23" x14ac:dyDescent="0.3">
      <c r="C12" s="25">
        <v>38.299999999999997</v>
      </c>
      <c r="D12" s="25">
        <v>12.3</v>
      </c>
      <c r="E12" s="25">
        <v>10.5</v>
      </c>
      <c r="F12" s="25">
        <v>24.65</v>
      </c>
      <c r="G12" s="25">
        <v>17.25</v>
      </c>
      <c r="K12" s="25">
        <v>38.299999999999997</v>
      </c>
      <c r="L12" s="25">
        <v>70</v>
      </c>
      <c r="M12" s="25">
        <v>13.9</v>
      </c>
      <c r="N12" s="25">
        <v>11.25</v>
      </c>
      <c r="O12" s="25">
        <v>0</v>
      </c>
      <c r="R12" s="21"/>
      <c r="S12" s="21"/>
      <c r="T12" s="21"/>
      <c r="U12" s="21"/>
      <c r="V12" s="30"/>
      <c r="W12" s="13"/>
    </row>
    <row r="13" spans="1:23" x14ac:dyDescent="0.3">
      <c r="R13" s="21"/>
      <c r="S13" s="21"/>
      <c r="T13" s="21"/>
      <c r="U13" s="21"/>
      <c r="V13" s="21"/>
      <c r="W13" s="13"/>
    </row>
    <row r="31" spans="1:10" ht="15" thickBot="1" x14ac:dyDescent="0.35">
      <c r="B31" s="5"/>
      <c r="J31" s="5"/>
    </row>
    <row r="32" spans="1:10" ht="15" thickBot="1" x14ac:dyDescent="0.35">
      <c r="A32" s="6"/>
      <c r="B32" s="8" t="s">
        <v>9</v>
      </c>
      <c r="I32" s="6"/>
      <c r="J32" s="8" t="s">
        <v>19</v>
      </c>
    </row>
    <row r="33" spans="2:15" ht="28.8" x14ac:dyDescent="0.3">
      <c r="B33" s="20" t="s">
        <v>3</v>
      </c>
      <c r="C33" s="19" t="s">
        <v>50</v>
      </c>
      <c r="D33" s="19" t="s">
        <v>51</v>
      </c>
      <c r="E33" s="19" t="s">
        <v>52</v>
      </c>
      <c r="F33" s="19" t="s">
        <v>53</v>
      </c>
      <c r="G33" s="19" t="s">
        <v>54</v>
      </c>
      <c r="J33" s="20" t="s">
        <v>3</v>
      </c>
      <c r="K33" s="19" t="s">
        <v>50</v>
      </c>
      <c r="L33" s="19" t="s">
        <v>51</v>
      </c>
      <c r="M33" s="19" t="s">
        <v>52</v>
      </c>
      <c r="N33" s="19" t="s">
        <v>53</v>
      </c>
      <c r="O33" s="19" t="s">
        <v>54</v>
      </c>
    </row>
    <row r="34" spans="2:15" x14ac:dyDescent="0.3">
      <c r="B34" s="26">
        <v>20</v>
      </c>
      <c r="C34" s="25">
        <v>11.6</v>
      </c>
      <c r="D34" s="25">
        <v>10.199999999999999</v>
      </c>
      <c r="E34" s="25">
        <v>8.2100000000000009</v>
      </c>
      <c r="F34" s="25">
        <v>9.08</v>
      </c>
      <c r="G34" s="26">
        <v>6.49</v>
      </c>
      <c r="J34" s="26">
        <v>20</v>
      </c>
      <c r="K34" s="25">
        <v>11.6</v>
      </c>
      <c r="L34" s="25">
        <v>11.1</v>
      </c>
      <c r="M34" s="25">
        <v>8.33</v>
      </c>
      <c r="N34" s="25">
        <v>8.98</v>
      </c>
      <c r="O34" s="26" t="s">
        <v>48</v>
      </c>
    </row>
    <row r="35" spans="2:15" x14ac:dyDescent="0.3">
      <c r="B35" s="26">
        <v>40</v>
      </c>
      <c r="C35" s="25">
        <v>11.6</v>
      </c>
      <c r="D35" s="25">
        <v>10.1</v>
      </c>
      <c r="E35" s="25">
        <v>8.48</v>
      </c>
      <c r="F35" s="25">
        <v>10</v>
      </c>
      <c r="G35" s="26">
        <v>6.46</v>
      </c>
      <c r="J35" s="26">
        <v>40</v>
      </c>
      <c r="K35" s="25">
        <v>11.6</v>
      </c>
      <c r="L35" s="25">
        <v>9.61</v>
      </c>
      <c r="M35" s="25">
        <v>10.1</v>
      </c>
      <c r="N35" s="25">
        <v>8.7100000000000009</v>
      </c>
      <c r="O35" s="26" t="s">
        <v>48</v>
      </c>
    </row>
    <row r="36" spans="2:15" x14ac:dyDescent="0.3">
      <c r="B36" s="26">
        <v>60</v>
      </c>
      <c r="C36" s="25">
        <v>11.6</v>
      </c>
      <c r="D36" s="25">
        <v>9.57</v>
      </c>
      <c r="E36" s="25">
        <v>8.66</v>
      </c>
      <c r="F36" s="27">
        <v>10.199999999999999</v>
      </c>
      <c r="G36" s="26">
        <v>8.2799999999999994</v>
      </c>
      <c r="J36" s="26">
        <v>60</v>
      </c>
      <c r="K36" s="25">
        <v>11.6</v>
      </c>
      <c r="L36" s="25">
        <v>10.3</v>
      </c>
      <c r="M36" s="25">
        <v>8.93</v>
      </c>
      <c r="N36" s="25">
        <v>10.4</v>
      </c>
      <c r="O36" s="26" t="s">
        <v>48</v>
      </c>
    </row>
    <row r="38" spans="2:15" x14ac:dyDescent="0.3">
      <c r="C38" s="18" t="s">
        <v>4</v>
      </c>
      <c r="D38" s="18" t="s">
        <v>5</v>
      </c>
      <c r="E38" s="18" t="s">
        <v>6</v>
      </c>
      <c r="F38" s="18" t="s">
        <v>7</v>
      </c>
      <c r="G38" s="18" t="s">
        <v>10</v>
      </c>
      <c r="K38" s="18" t="s">
        <v>4</v>
      </c>
      <c r="L38" s="18" t="s">
        <v>21</v>
      </c>
      <c r="M38" s="18" t="s">
        <v>6</v>
      </c>
      <c r="N38" s="18" t="s">
        <v>7</v>
      </c>
      <c r="O38" s="18" t="s">
        <v>10</v>
      </c>
    </row>
    <row r="39" spans="2:15" x14ac:dyDescent="0.3">
      <c r="C39" s="25">
        <v>0.28000000000000003</v>
      </c>
      <c r="D39" s="25">
        <v>0.21</v>
      </c>
      <c r="E39" s="25">
        <v>0.72</v>
      </c>
      <c r="F39" s="25">
        <v>1.26</v>
      </c>
      <c r="G39" s="25">
        <v>0.63</v>
      </c>
      <c r="K39" s="25">
        <v>0.28000000000000003</v>
      </c>
      <c r="L39" s="25">
        <v>0.79</v>
      </c>
      <c r="M39" s="25">
        <v>0.94</v>
      </c>
      <c r="N39" s="25">
        <v>0.28999999999999998</v>
      </c>
      <c r="O39" s="25">
        <v>0</v>
      </c>
    </row>
    <row r="40" spans="2:15" x14ac:dyDescent="0.3">
      <c r="C40" s="25">
        <v>0.28000000000000003</v>
      </c>
      <c r="D40" s="25">
        <v>0.64</v>
      </c>
      <c r="E40" s="25">
        <v>0.78</v>
      </c>
      <c r="F40" s="25">
        <v>0.77</v>
      </c>
      <c r="G40" s="25">
        <v>0.69</v>
      </c>
      <c r="K40" s="25">
        <v>0.28000000000000003</v>
      </c>
      <c r="L40" s="25">
        <v>0.76</v>
      </c>
      <c r="M40" s="25">
        <v>0.55000000000000004</v>
      </c>
      <c r="N40" s="25">
        <v>0.97</v>
      </c>
      <c r="O40" s="25">
        <v>0</v>
      </c>
    </row>
    <row r="41" spans="2:15" x14ac:dyDescent="0.3">
      <c r="C41" s="25">
        <v>0.28000000000000003</v>
      </c>
      <c r="D41" s="25">
        <v>0.56999999999999995</v>
      </c>
      <c r="E41" s="25">
        <v>0.71</v>
      </c>
      <c r="F41" s="25">
        <v>0.31</v>
      </c>
      <c r="G41" s="25">
        <v>0.3</v>
      </c>
      <c r="K41" s="25">
        <v>0.28000000000000003</v>
      </c>
      <c r="L41" s="25">
        <v>0.36</v>
      </c>
      <c r="M41" s="25">
        <v>0.69</v>
      </c>
      <c r="N41" s="25">
        <v>0.88</v>
      </c>
      <c r="O41" s="25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CB2B-92C7-4DBB-8518-0CC4886D99CF}">
  <dimension ref="B3:X85"/>
  <sheetViews>
    <sheetView tabSelected="1" zoomScale="80" zoomScaleNormal="80" zoomScaleSheetLayoutView="82" workbookViewId="0">
      <selection activeCell="Q82" sqref="Q82"/>
    </sheetView>
  </sheetViews>
  <sheetFormatPr baseColWidth="10" defaultRowHeight="14.4" x14ac:dyDescent="0.3"/>
  <cols>
    <col min="8" max="8" width="14.33203125" customWidth="1"/>
    <col min="9" max="9" width="18" customWidth="1"/>
    <col min="10" max="10" width="15.33203125" customWidth="1"/>
    <col min="11" max="11" width="14.77734375" customWidth="1"/>
    <col min="12" max="12" width="15.44140625" customWidth="1"/>
    <col min="13" max="13" width="13.77734375" customWidth="1"/>
    <col min="14" max="14" width="15" customWidth="1"/>
    <col min="16" max="16" width="15" customWidth="1"/>
    <col min="17" max="18" width="13.77734375" customWidth="1"/>
    <col min="20" max="20" width="13.33203125" customWidth="1"/>
    <col min="24" max="24" width="12.77734375" customWidth="1"/>
  </cols>
  <sheetData>
    <row r="3" spans="2:24" x14ac:dyDescent="0.3">
      <c r="C3" s="21"/>
    </row>
    <row r="4" spans="2:24" ht="15" thickBot="1" x14ac:dyDescent="0.35"/>
    <row r="5" spans="2:24" ht="15" thickBot="1" x14ac:dyDescent="0.35">
      <c r="H5" s="9" t="s">
        <v>1</v>
      </c>
      <c r="I5" s="21"/>
      <c r="J5" s="21"/>
      <c r="K5" s="21"/>
      <c r="L5" s="21"/>
      <c r="M5" s="21"/>
      <c r="O5" s="21"/>
      <c r="T5" s="18" t="s">
        <v>26</v>
      </c>
      <c r="U5" s="18" t="s">
        <v>27</v>
      </c>
      <c r="V5" s="18" t="s">
        <v>36</v>
      </c>
      <c r="W5" s="18" t="s">
        <v>25</v>
      </c>
      <c r="X5" s="18" t="s">
        <v>37</v>
      </c>
    </row>
    <row r="6" spans="2:24" ht="28.8" x14ac:dyDescent="0.3">
      <c r="B6" s="21"/>
      <c r="C6" s="37"/>
      <c r="D6" s="37"/>
      <c r="E6" s="37"/>
      <c r="F6" s="37"/>
      <c r="H6" s="20" t="s">
        <v>0</v>
      </c>
      <c r="I6" s="19" t="s">
        <v>38</v>
      </c>
      <c r="J6" s="19" t="s">
        <v>59</v>
      </c>
      <c r="K6" s="19" t="s">
        <v>40</v>
      </c>
      <c r="L6" s="19" t="s">
        <v>41</v>
      </c>
      <c r="M6" s="19" t="s">
        <v>42</v>
      </c>
      <c r="N6" s="19" t="s">
        <v>60</v>
      </c>
      <c r="P6" s="19" t="s">
        <v>38</v>
      </c>
      <c r="Q6" s="18" t="s">
        <v>39</v>
      </c>
      <c r="T6" s="35" t="s">
        <v>28</v>
      </c>
      <c r="U6" s="35" t="s">
        <v>24</v>
      </c>
      <c r="V6" s="26" t="s">
        <v>29</v>
      </c>
      <c r="W6" s="25">
        <f>-(-3.7646*8.314*1000)</f>
        <v>31298.884400000003</v>
      </c>
      <c r="X6" s="25">
        <f>W6/1000</f>
        <v>31.298884400000002</v>
      </c>
    </row>
    <row r="7" spans="2:24" x14ac:dyDescent="0.3">
      <c r="B7" s="32"/>
      <c r="C7" s="31"/>
      <c r="D7" s="31"/>
      <c r="E7" s="31"/>
      <c r="F7" s="31"/>
      <c r="H7" s="2">
        <v>20</v>
      </c>
      <c r="I7" s="3">
        <f>1/(273+H7)*1000</f>
        <v>3.4129692832764507</v>
      </c>
      <c r="J7" s="3">
        <v>1460</v>
      </c>
      <c r="K7" s="3">
        <v>1130</v>
      </c>
      <c r="L7" s="3">
        <v>1150</v>
      </c>
      <c r="M7" s="3">
        <v>1130</v>
      </c>
      <c r="N7" s="3">
        <v>1010</v>
      </c>
      <c r="P7" s="3">
        <f>I7</f>
        <v>3.4129692832764507</v>
      </c>
      <c r="Q7" s="3">
        <f>LN((L14))</f>
        <v>4.7004803657924166</v>
      </c>
      <c r="T7" s="35" t="s">
        <v>28</v>
      </c>
      <c r="U7" s="35" t="s">
        <v>24</v>
      </c>
      <c r="V7" s="26" t="s">
        <v>30</v>
      </c>
      <c r="W7" s="25">
        <f>-(8.3875*8.314*1000)</f>
        <v>-69733.674999999988</v>
      </c>
      <c r="X7" s="25">
        <f>W7/1000</f>
        <v>-69.733674999999991</v>
      </c>
    </row>
    <row r="8" spans="2:24" x14ac:dyDescent="0.3">
      <c r="B8" s="21"/>
      <c r="C8" s="33"/>
      <c r="D8" s="33"/>
      <c r="E8" s="33"/>
      <c r="F8" s="33"/>
      <c r="H8" s="2">
        <v>40</v>
      </c>
      <c r="I8" s="3">
        <f>1/(273+H8)*1000</f>
        <v>3.1948881789137378</v>
      </c>
      <c r="J8" s="3">
        <v>1460</v>
      </c>
      <c r="K8" s="3">
        <v>710</v>
      </c>
      <c r="L8" s="3">
        <v>1100</v>
      </c>
      <c r="M8" s="3">
        <v>1280</v>
      </c>
      <c r="N8" s="3">
        <v>862</v>
      </c>
      <c r="P8" s="3">
        <f>I8</f>
        <v>3.1948881789137378</v>
      </c>
      <c r="Q8" s="3">
        <f>LN((L15))</f>
        <v>5.521460917862246</v>
      </c>
      <c r="T8" s="35" t="s">
        <v>28</v>
      </c>
      <c r="U8" s="35" t="s">
        <v>32</v>
      </c>
      <c r="V8" s="26" t="s">
        <v>29</v>
      </c>
      <c r="W8" s="25">
        <f>-(1.0435*8.314*1000)</f>
        <v>-8675.6590000000015</v>
      </c>
      <c r="X8" s="25">
        <f t="shared" ref="X8:X17" si="0">W8/1000</f>
        <v>-8.6756590000000013</v>
      </c>
    </row>
    <row r="9" spans="2:24" x14ac:dyDescent="0.3">
      <c r="B9" s="21"/>
      <c r="C9" s="33"/>
      <c r="D9" s="33"/>
      <c r="E9" s="33"/>
      <c r="F9" s="33"/>
      <c r="H9" s="2">
        <v>60</v>
      </c>
      <c r="I9" s="3">
        <f>1/(273+H9)*1000</f>
        <v>3.0030030030030028</v>
      </c>
      <c r="J9" s="3">
        <v>1460</v>
      </c>
      <c r="K9" s="3">
        <v>1310</v>
      </c>
      <c r="L9" s="3">
        <v>0</v>
      </c>
      <c r="M9" s="3">
        <v>0</v>
      </c>
      <c r="N9" s="3">
        <v>0</v>
      </c>
      <c r="P9" s="3">
        <f>I9</f>
        <v>3.0030030030030028</v>
      </c>
      <c r="Q9" s="3">
        <f>LN((L16))</f>
        <v>3.912023005428146</v>
      </c>
      <c r="T9" s="35" t="s">
        <v>28</v>
      </c>
      <c r="U9" s="35" t="s">
        <v>32</v>
      </c>
      <c r="V9" s="26" t="s">
        <v>30</v>
      </c>
      <c r="W9" s="25">
        <f>-(-0.1226*8.314*1000)</f>
        <v>1019.2963999999999</v>
      </c>
      <c r="X9" s="25">
        <f t="shared" si="0"/>
        <v>1.0192964</v>
      </c>
    </row>
    <row r="10" spans="2:24" x14ac:dyDescent="0.3">
      <c r="B10" s="21"/>
      <c r="C10" s="33"/>
      <c r="D10" s="33"/>
      <c r="E10" s="33"/>
      <c r="F10" s="33"/>
      <c r="T10" s="35" t="s">
        <v>23</v>
      </c>
      <c r="U10" s="35" t="s">
        <v>24</v>
      </c>
      <c r="V10" s="26" t="s">
        <v>29</v>
      </c>
      <c r="W10" s="25">
        <f>-(0.2591*8.314*1000)</f>
        <v>-2154.1574000000001</v>
      </c>
      <c r="X10" s="25">
        <f t="shared" si="0"/>
        <v>-2.1541573999999999</v>
      </c>
    </row>
    <row r="11" spans="2:24" x14ac:dyDescent="0.3">
      <c r="T11" s="35" t="s">
        <v>23</v>
      </c>
      <c r="U11" s="35" t="s">
        <v>24</v>
      </c>
      <c r="V11" s="26" t="s">
        <v>30</v>
      </c>
      <c r="W11" s="25">
        <f>-(-7.2699*8.314*1000)</f>
        <v>60441.948599999996</v>
      </c>
      <c r="X11" s="25">
        <f t="shared" si="0"/>
        <v>60.441948599999996</v>
      </c>
    </row>
    <row r="12" spans="2:24" ht="28.8" x14ac:dyDescent="0.3">
      <c r="H12" s="19" t="s">
        <v>55</v>
      </c>
      <c r="I12" s="19" t="s">
        <v>56</v>
      </c>
      <c r="J12" s="19" t="s">
        <v>57</v>
      </c>
      <c r="K12" s="19" t="s">
        <v>58</v>
      </c>
      <c r="L12" s="18" t="s">
        <v>61</v>
      </c>
      <c r="M12" s="18" t="s">
        <v>61</v>
      </c>
      <c r="N12" s="18" t="s">
        <v>61</v>
      </c>
      <c r="O12" s="18" t="s">
        <v>61</v>
      </c>
      <c r="T12" s="35" t="s">
        <v>23</v>
      </c>
      <c r="U12" s="35" t="s">
        <v>32</v>
      </c>
      <c r="V12" s="26" t="s">
        <v>29</v>
      </c>
      <c r="W12" s="25">
        <f>-(-1.4391*8.314*1000)</f>
        <v>11964.6774</v>
      </c>
      <c r="X12" s="25">
        <f t="shared" si="0"/>
        <v>11.964677400000001</v>
      </c>
    </row>
    <row r="13" spans="2:24" x14ac:dyDescent="0.3">
      <c r="H13" s="34">
        <v>3</v>
      </c>
      <c r="I13" s="17">
        <v>6</v>
      </c>
      <c r="J13" s="17">
        <v>9</v>
      </c>
      <c r="K13" s="17">
        <v>12</v>
      </c>
      <c r="L13" s="34">
        <v>3</v>
      </c>
      <c r="M13" s="17">
        <v>6</v>
      </c>
      <c r="N13" s="17">
        <v>9</v>
      </c>
      <c r="O13" s="17">
        <v>12</v>
      </c>
      <c r="T13" s="35" t="s">
        <v>23</v>
      </c>
      <c r="U13" s="35" t="s">
        <v>32</v>
      </c>
      <c r="V13" s="26" t="s">
        <v>30</v>
      </c>
      <c r="W13" s="25">
        <f>-(2.1394*8.314*1000)</f>
        <v>-17786.971600000001</v>
      </c>
      <c r="X13" s="25">
        <f t="shared" si="0"/>
        <v>-17.786971600000001</v>
      </c>
    </row>
    <row r="14" spans="2:24" x14ac:dyDescent="0.3">
      <c r="H14" s="25">
        <f t="shared" ref="H14:K16" si="1">$J$7-K7</f>
        <v>330</v>
      </c>
      <c r="I14" s="3">
        <f t="shared" si="1"/>
        <v>310</v>
      </c>
      <c r="J14" s="3">
        <f t="shared" si="1"/>
        <v>330</v>
      </c>
      <c r="K14" s="3">
        <f t="shared" si="1"/>
        <v>450</v>
      </c>
      <c r="L14" s="25">
        <f>H14/H13</f>
        <v>110</v>
      </c>
      <c r="M14" s="3">
        <f>I14/I13</f>
        <v>51.666666666666664</v>
      </c>
      <c r="N14" s="3">
        <f>J14/J13</f>
        <v>36.666666666666664</v>
      </c>
      <c r="O14" s="3">
        <f>K14/K13</f>
        <v>37.5</v>
      </c>
      <c r="T14" s="35" t="s">
        <v>22</v>
      </c>
      <c r="U14" s="35" t="s">
        <v>24</v>
      </c>
      <c r="V14" s="26" t="s">
        <v>29</v>
      </c>
      <c r="W14" s="25">
        <f>-(0.4445*8.314*1000)</f>
        <v>-3695.5729999999999</v>
      </c>
      <c r="X14" s="25">
        <f t="shared" si="0"/>
        <v>-3.695573</v>
      </c>
    </row>
    <row r="15" spans="2:24" x14ac:dyDescent="0.3">
      <c r="H15" s="25">
        <f t="shared" si="1"/>
        <v>750</v>
      </c>
      <c r="I15" s="3">
        <f t="shared" si="1"/>
        <v>360</v>
      </c>
      <c r="J15" s="3">
        <f t="shared" si="1"/>
        <v>180</v>
      </c>
      <c r="K15" s="3">
        <f t="shared" si="1"/>
        <v>598</v>
      </c>
      <c r="L15" s="25">
        <f>H15/H13</f>
        <v>250</v>
      </c>
      <c r="M15" s="3">
        <f>I15/I13</f>
        <v>60</v>
      </c>
      <c r="N15" s="3">
        <f>J15/J13</f>
        <v>20</v>
      </c>
      <c r="O15" s="3">
        <f>K15/K14</f>
        <v>1.3288888888888888</v>
      </c>
      <c r="T15" s="35" t="s">
        <v>22</v>
      </c>
      <c r="U15" s="35" t="s">
        <v>24</v>
      </c>
      <c r="V15" s="26" t="s">
        <v>30</v>
      </c>
      <c r="W15" s="25">
        <f>-(-5.0959*8.314*1000)</f>
        <v>42367.312600000005</v>
      </c>
      <c r="X15" s="25">
        <f t="shared" si="0"/>
        <v>42.367312600000005</v>
      </c>
    </row>
    <row r="16" spans="2:24" x14ac:dyDescent="0.3">
      <c r="H16" s="25">
        <f t="shared" si="1"/>
        <v>150</v>
      </c>
      <c r="I16" s="3">
        <f t="shared" si="1"/>
        <v>1460</v>
      </c>
      <c r="J16" s="3">
        <f t="shared" si="1"/>
        <v>1460</v>
      </c>
      <c r="K16" s="3">
        <f t="shared" si="1"/>
        <v>1460</v>
      </c>
      <c r="L16" s="25">
        <f>H16/L13</f>
        <v>50</v>
      </c>
      <c r="M16" s="3">
        <f>I16/M13</f>
        <v>243.33333333333334</v>
      </c>
      <c r="N16" s="3">
        <f>J16/N13</f>
        <v>162.22222222222223</v>
      </c>
      <c r="O16" s="3">
        <f>K16/O13</f>
        <v>121.66666666666667</v>
      </c>
      <c r="T16" s="35" t="s">
        <v>22</v>
      </c>
      <c r="U16" s="35" t="s">
        <v>32</v>
      </c>
      <c r="V16" s="26" t="s">
        <v>29</v>
      </c>
      <c r="W16" s="25">
        <f>-(-0.0766*8.314*1000)</f>
        <v>636.85239999999999</v>
      </c>
      <c r="X16" s="25">
        <f t="shared" si="0"/>
        <v>0.63685239999999999</v>
      </c>
    </row>
    <row r="17" spans="8:24" x14ac:dyDescent="0.3">
      <c r="T17" s="35" t="s">
        <v>22</v>
      </c>
      <c r="U17" s="35" t="s">
        <v>32</v>
      </c>
      <c r="V17" s="26" t="s">
        <v>30</v>
      </c>
      <c r="W17" s="25">
        <f>-(4.5913*8.314*1000)</f>
        <v>-38172.068200000009</v>
      </c>
      <c r="X17" s="25">
        <f t="shared" si="0"/>
        <v>-38.172068200000005</v>
      </c>
    </row>
    <row r="18" spans="8:24" ht="15" thickBot="1" x14ac:dyDescent="0.35">
      <c r="R18" s="1"/>
      <c r="S18" s="1"/>
      <c r="V18" s="14"/>
    </row>
    <row r="19" spans="8:24" ht="15" thickBot="1" x14ac:dyDescent="0.35">
      <c r="H19" s="9" t="s">
        <v>31</v>
      </c>
    </row>
    <row r="20" spans="8:24" ht="28.8" x14ac:dyDescent="0.3">
      <c r="H20" s="20" t="s">
        <v>0</v>
      </c>
      <c r="I20" s="19" t="s">
        <v>38</v>
      </c>
      <c r="J20" s="19" t="s">
        <v>59</v>
      </c>
      <c r="K20" s="19" t="s">
        <v>40</v>
      </c>
      <c r="L20" s="19" t="s">
        <v>41</v>
      </c>
      <c r="M20" s="19" t="s">
        <v>42</v>
      </c>
      <c r="N20" s="19" t="s">
        <v>60</v>
      </c>
      <c r="P20" s="19" t="s">
        <v>38</v>
      </c>
      <c r="Q20" s="18" t="s">
        <v>39</v>
      </c>
    </row>
    <row r="21" spans="8:24" x14ac:dyDescent="0.3">
      <c r="H21" s="2">
        <v>20</v>
      </c>
      <c r="I21" s="3">
        <f>1/(273+H21)*1000</f>
        <v>3.4129692832764507</v>
      </c>
      <c r="J21" s="3">
        <v>1460</v>
      </c>
      <c r="K21" s="3">
        <v>669</v>
      </c>
      <c r="L21" s="3">
        <v>1100</v>
      </c>
      <c r="M21" s="3">
        <v>1350</v>
      </c>
      <c r="N21" s="15">
        <v>1060</v>
      </c>
      <c r="P21" s="3">
        <f>I21</f>
        <v>3.4129692832764507</v>
      </c>
      <c r="Q21" s="3">
        <f>LN((L28))</f>
        <v>5.5746856790995443</v>
      </c>
    </row>
    <row r="22" spans="8:24" x14ac:dyDescent="0.3">
      <c r="H22" s="2">
        <v>40</v>
      </c>
      <c r="I22" s="3">
        <f>1/(273+H22)*1000</f>
        <v>3.1948881789137378</v>
      </c>
      <c r="J22" s="3">
        <v>1460</v>
      </c>
      <c r="K22" s="3">
        <v>830</v>
      </c>
      <c r="L22" s="3">
        <v>1070</v>
      </c>
      <c r="M22" s="3">
        <v>1320</v>
      </c>
      <c r="N22" s="15">
        <v>720</v>
      </c>
      <c r="P22" s="3">
        <f>I22</f>
        <v>3.1948881789137378</v>
      </c>
      <c r="Q22" s="3">
        <f>LN((L29))</f>
        <v>5.3471075307174685</v>
      </c>
    </row>
    <row r="23" spans="8:24" x14ac:dyDescent="0.3">
      <c r="H23" s="2">
        <v>60</v>
      </c>
      <c r="I23" s="3">
        <f>1/(273+H23)*1000</f>
        <v>3.0030030030030028</v>
      </c>
      <c r="J23" s="3">
        <v>1460</v>
      </c>
      <c r="K23" s="3">
        <v>815</v>
      </c>
      <c r="L23" s="3" t="s">
        <v>48</v>
      </c>
      <c r="M23" s="3" t="s">
        <v>48</v>
      </c>
      <c r="N23" s="2" t="s">
        <v>48</v>
      </c>
      <c r="P23" s="3">
        <f>I23</f>
        <v>3.0030030030030028</v>
      </c>
      <c r="Q23" s="3">
        <f>LN((L30))</f>
        <v>5.3706380281276624</v>
      </c>
    </row>
    <row r="26" spans="8:24" ht="28.8" x14ac:dyDescent="0.3">
      <c r="H26" s="19" t="s">
        <v>55</v>
      </c>
      <c r="I26" s="19" t="s">
        <v>56</v>
      </c>
      <c r="J26" s="19" t="s">
        <v>57</v>
      </c>
      <c r="K26" s="19" t="s">
        <v>58</v>
      </c>
      <c r="L26" s="18" t="s">
        <v>62</v>
      </c>
      <c r="M26" s="18" t="s">
        <v>63</v>
      </c>
      <c r="N26" s="18" t="s">
        <v>62</v>
      </c>
      <c r="O26" s="18" t="s">
        <v>62</v>
      </c>
    </row>
    <row r="27" spans="8:24" x14ac:dyDescent="0.3">
      <c r="H27" s="17">
        <v>3</v>
      </c>
      <c r="I27" s="17">
        <v>6</v>
      </c>
      <c r="J27" s="17">
        <v>9</v>
      </c>
      <c r="K27" s="17">
        <v>12</v>
      </c>
      <c r="L27" s="17">
        <v>3</v>
      </c>
      <c r="M27" s="17">
        <v>6</v>
      </c>
      <c r="N27" s="17">
        <v>9</v>
      </c>
      <c r="O27" s="17">
        <v>12</v>
      </c>
      <c r="W27" s="2"/>
    </row>
    <row r="28" spans="8:24" x14ac:dyDescent="0.3">
      <c r="H28" s="25">
        <f>$J$21-K21</f>
        <v>791</v>
      </c>
      <c r="I28" s="25">
        <f>$J$21-L21</f>
        <v>360</v>
      </c>
      <c r="J28" s="25">
        <f>$J$21-M21</f>
        <v>110</v>
      </c>
      <c r="K28" s="25">
        <f>$J$21-N21</f>
        <v>400</v>
      </c>
      <c r="L28" s="25">
        <f>H28/H27</f>
        <v>263.66666666666669</v>
      </c>
      <c r="M28" s="25">
        <f>I28/I27</f>
        <v>60</v>
      </c>
      <c r="N28" s="25">
        <f>J28/J27</f>
        <v>12.222222222222221</v>
      </c>
      <c r="O28" s="25">
        <f>K28/K27</f>
        <v>33.333333333333336</v>
      </c>
    </row>
    <row r="29" spans="8:24" x14ac:dyDescent="0.3">
      <c r="H29" s="25">
        <f>$J$22-K22</f>
        <v>630</v>
      </c>
      <c r="I29" s="25">
        <f>$J$22-L22</f>
        <v>390</v>
      </c>
      <c r="J29" s="25">
        <f>$J$22-M22</f>
        <v>140</v>
      </c>
      <c r="K29" s="25">
        <f>$J$22-N22</f>
        <v>740</v>
      </c>
      <c r="L29" s="25">
        <f>H29/H27</f>
        <v>210</v>
      </c>
      <c r="M29" s="25">
        <f>I29/I27</f>
        <v>65</v>
      </c>
      <c r="N29" s="25">
        <f>J29/J27</f>
        <v>15.555555555555555</v>
      </c>
      <c r="O29" s="25">
        <f>K29/K27</f>
        <v>61.666666666666664</v>
      </c>
    </row>
    <row r="30" spans="8:24" x14ac:dyDescent="0.3">
      <c r="H30" s="25">
        <f>$J$23-K23</f>
        <v>645</v>
      </c>
      <c r="I30" s="25" t="s">
        <v>48</v>
      </c>
      <c r="J30" s="25" t="s">
        <v>48</v>
      </c>
      <c r="K30" s="25" t="s">
        <v>48</v>
      </c>
      <c r="L30" s="25">
        <f>H30/H27</f>
        <v>215</v>
      </c>
      <c r="M30" s="25" t="s">
        <v>48</v>
      </c>
      <c r="N30" s="25" t="s">
        <v>48</v>
      </c>
      <c r="O30" s="25" t="s">
        <v>48</v>
      </c>
    </row>
    <row r="32" spans="8:24" ht="15" thickBot="1" x14ac:dyDescent="0.35"/>
    <row r="33" spans="8:17" ht="15" thickBot="1" x14ac:dyDescent="0.35">
      <c r="H33" s="7" t="s">
        <v>2</v>
      </c>
    </row>
    <row r="34" spans="8:17" ht="28.8" x14ac:dyDescent="0.3">
      <c r="H34" s="20" t="s">
        <v>0</v>
      </c>
      <c r="I34" s="19" t="s">
        <v>38</v>
      </c>
      <c r="J34" s="19" t="s">
        <v>59</v>
      </c>
      <c r="K34" s="19" t="s">
        <v>40</v>
      </c>
      <c r="L34" s="19" t="s">
        <v>41</v>
      </c>
      <c r="M34" s="19" t="s">
        <v>42</v>
      </c>
      <c r="N34" s="19" t="s">
        <v>60</v>
      </c>
      <c r="P34" s="19" t="s">
        <v>38</v>
      </c>
      <c r="Q34" s="18" t="s">
        <v>39</v>
      </c>
    </row>
    <row r="35" spans="8:17" x14ac:dyDescent="0.3">
      <c r="H35" s="26">
        <v>20</v>
      </c>
      <c r="I35" s="25">
        <f>1/(273+H35)*1000</f>
        <v>3.4129692832764507</v>
      </c>
      <c r="J35" s="25">
        <v>862</v>
      </c>
      <c r="K35" s="25">
        <v>771</v>
      </c>
      <c r="L35" s="25">
        <v>895</v>
      </c>
      <c r="M35" s="25">
        <v>827</v>
      </c>
      <c r="N35" s="25">
        <v>485</v>
      </c>
      <c r="P35" s="3">
        <f>I35</f>
        <v>3.4129692832764507</v>
      </c>
      <c r="Q35" s="3">
        <f>LN((L42))</f>
        <v>3.4122472178487402</v>
      </c>
    </row>
    <row r="36" spans="8:17" x14ac:dyDescent="0.3">
      <c r="H36" s="26">
        <v>40</v>
      </c>
      <c r="I36" s="25">
        <f>1/(273+H36)*1000</f>
        <v>3.1948881789137378</v>
      </c>
      <c r="J36" s="25">
        <v>862</v>
      </c>
      <c r="K36" s="25">
        <v>776</v>
      </c>
      <c r="L36" s="25">
        <v>825</v>
      </c>
      <c r="M36" s="25">
        <v>804</v>
      </c>
      <c r="N36" s="25">
        <v>526</v>
      </c>
      <c r="P36" s="3">
        <f>I36</f>
        <v>3.1948881789137378</v>
      </c>
      <c r="Q36" s="3">
        <f>LN((L43))</f>
        <v>3.3557350075853982</v>
      </c>
    </row>
    <row r="37" spans="8:17" x14ac:dyDescent="0.3">
      <c r="H37" s="26">
        <v>60</v>
      </c>
      <c r="I37" s="25">
        <f>1/(273+H37)*1000</f>
        <v>3.0030030030030028</v>
      </c>
      <c r="J37" s="25">
        <v>862</v>
      </c>
      <c r="K37" s="25">
        <v>515</v>
      </c>
      <c r="L37" s="25">
        <v>768</v>
      </c>
      <c r="M37" s="25">
        <v>735</v>
      </c>
      <c r="N37" s="25">
        <v>817</v>
      </c>
      <c r="P37" s="3">
        <f>I37</f>
        <v>3.0030030030030028</v>
      </c>
      <c r="Q37" s="3">
        <f>LN((L44))</f>
        <v>4.7507124912787493</v>
      </c>
    </row>
    <row r="40" spans="8:17" ht="28.8" x14ac:dyDescent="0.3">
      <c r="H40" s="19" t="s">
        <v>55</v>
      </c>
      <c r="I40" s="19" t="s">
        <v>56</v>
      </c>
      <c r="J40" s="19" t="s">
        <v>57</v>
      </c>
      <c r="K40" s="19" t="s">
        <v>58</v>
      </c>
      <c r="L40" s="18" t="s">
        <v>62</v>
      </c>
      <c r="M40" s="18" t="s">
        <v>63</v>
      </c>
      <c r="N40" s="18" t="s">
        <v>62</v>
      </c>
      <c r="O40" s="18" t="s">
        <v>62</v>
      </c>
    </row>
    <row r="41" spans="8:17" x14ac:dyDescent="0.3">
      <c r="H41" s="17">
        <v>3</v>
      </c>
      <c r="I41" s="17">
        <v>6</v>
      </c>
      <c r="J41" s="17">
        <v>9</v>
      </c>
      <c r="K41" s="17">
        <v>12</v>
      </c>
      <c r="L41" s="17">
        <v>3</v>
      </c>
      <c r="M41" s="17">
        <v>6</v>
      </c>
      <c r="N41" s="17">
        <v>9</v>
      </c>
      <c r="O41" s="17">
        <v>12</v>
      </c>
    </row>
    <row r="42" spans="8:17" x14ac:dyDescent="0.3">
      <c r="H42" s="3">
        <f>$J$35-K35</f>
        <v>91</v>
      </c>
      <c r="I42" s="3">
        <f>$J$35-L35</f>
        <v>-33</v>
      </c>
      <c r="J42" s="3">
        <f>$J$35-M35</f>
        <v>35</v>
      </c>
      <c r="K42" s="3">
        <f>$J$35-N35</f>
        <v>377</v>
      </c>
      <c r="L42" s="3">
        <f>H42/H41</f>
        <v>30.333333333333332</v>
      </c>
      <c r="M42" s="3">
        <f>I42/I41</f>
        <v>-5.5</v>
      </c>
      <c r="N42" s="3">
        <f>J42/J41</f>
        <v>3.8888888888888888</v>
      </c>
      <c r="O42" s="3">
        <f>K42/K41</f>
        <v>31.416666666666668</v>
      </c>
    </row>
    <row r="43" spans="8:17" x14ac:dyDescent="0.3">
      <c r="H43" s="3">
        <f>$J$36-K36</f>
        <v>86</v>
      </c>
      <c r="I43" s="3">
        <f>$J$36-L36</f>
        <v>37</v>
      </c>
      <c r="J43" s="3">
        <f>$J$36-M36</f>
        <v>58</v>
      </c>
      <c r="K43" s="3">
        <f>$J$36-N36</f>
        <v>336</v>
      </c>
      <c r="L43" s="3">
        <f>H43/H41</f>
        <v>28.666666666666668</v>
      </c>
      <c r="M43" s="3">
        <f>I43/I41</f>
        <v>6.166666666666667</v>
      </c>
      <c r="N43" s="3">
        <f>J43/J41</f>
        <v>6.4444444444444446</v>
      </c>
      <c r="O43" s="3">
        <f>K43/K41</f>
        <v>28</v>
      </c>
    </row>
    <row r="44" spans="8:17" x14ac:dyDescent="0.3">
      <c r="H44" s="3">
        <f>$J$37-K37</f>
        <v>347</v>
      </c>
      <c r="I44" s="3">
        <f>$J$37-L37</f>
        <v>94</v>
      </c>
      <c r="J44" s="3">
        <f>$J$37-M37</f>
        <v>127</v>
      </c>
      <c r="K44" s="3">
        <f>$J$37-N37</f>
        <v>45</v>
      </c>
      <c r="L44" s="3">
        <f>H44/H41</f>
        <v>115.66666666666667</v>
      </c>
      <c r="M44" s="3">
        <f>I44/I41</f>
        <v>15.666666666666666</v>
      </c>
      <c r="N44" s="3">
        <f>J44/J41</f>
        <v>14.111111111111111</v>
      </c>
      <c r="O44" s="3">
        <f>K44/K41</f>
        <v>3.75</v>
      </c>
    </row>
    <row r="46" spans="8:17" ht="15" thickBot="1" x14ac:dyDescent="0.35"/>
    <row r="47" spans="8:17" ht="15" thickBot="1" x14ac:dyDescent="0.35">
      <c r="H47" s="7" t="s">
        <v>33</v>
      </c>
    </row>
    <row r="48" spans="8:17" ht="28.8" x14ac:dyDescent="0.3">
      <c r="H48" s="20" t="s">
        <v>0</v>
      </c>
      <c r="I48" s="19" t="s">
        <v>38</v>
      </c>
      <c r="J48" s="19" t="s">
        <v>59</v>
      </c>
      <c r="K48" s="19" t="s">
        <v>40</v>
      </c>
      <c r="L48" s="19" t="s">
        <v>41</v>
      </c>
      <c r="M48" s="19" t="s">
        <v>42</v>
      </c>
      <c r="N48" s="19" t="s">
        <v>60</v>
      </c>
      <c r="P48" s="19" t="s">
        <v>38</v>
      </c>
      <c r="Q48" s="18" t="s">
        <v>39</v>
      </c>
    </row>
    <row r="49" spans="8:17" x14ac:dyDescent="0.3">
      <c r="H49" s="2">
        <v>20</v>
      </c>
      <c r="I49" s="3">
        <f>1/(H49+273)*1000</f>
        <v>3.4129692832764507</v>
      </c>
      <c r="J49" s="3">
        <v>862</v>
      </c>
      <c r="K49" s="3">
        <v>645</v>
      </c>
      <c r="L49" s="3">
        <v>820</v>
      </c>
      <c r="M49" s="3">
        <v>863</v>
      </c>
      <c r="N49" s="16">
        <v>511</v>
      </c>
      <c r="P49" s="3">
        <f>I49</f>
        <v>3.4129692832764507</v>
      </c>
      <c r="Q49" s="3">
        <f>LN((L56))</f>
        <v>4.2812850648723497</v>
      </c>
    </row>
    <row r="50" spans="8:17" x14ac:dyDescent="0.3">
      <c r="H50" s="2">
        <v>40</v>
      </c>
      <c r="I50" s="3">
        <f>1/(H50+273)*1000</f>
        <v>3.1948881789137378</v>
      </c>
      <c r="J50" s="3">
        <v>862</v>
      </c>
      <c r="K50" s="3">
        <v>565</v>
      </c>
      <c r="L50" s="3">
        <v>790</v>
      </c>
      <c r="M50" s="3">
        <v>913</v>
      </c>
      <c r="N50" s="16">
        <v>559</v>
      </c>
      <c r="P50" s="3">
        <f>I50</f>
        <v>3.1948881789137378</v>
      </c>
      <c r="Q50" s="3">
        <f>LN(L57)</f>
        <v>4.5951198501345898</v>
      </c>
    </row>
    <row r="51" spans="8:17" x14ac:dyDescent="0.3">
      <c r="H51" s="2">
        <v>60</v>
      </c>
      <c r="I51" s="3">
        <f>1/(H51+273)*1000</f>
        <v>3.0030030030030028</v>
      </c>
      <c r="J51" s="3">
        <v>862</v>
      </c>
      <c r="K51" s="3">
        <v>665</v>
      </c>
      <c r="L51" s="3">
        <v>824</v>
      </c>
      <c r="M51" s="3">
        <v>830</v>
      </c>
      <c r="N51" s="16">
        <v>539</v>
      </c>
      <c r="P51" s="3">
        <f>I51</f>
        <v>3.0030030030030028</v>
      </c>
      <c r="Q51" s="3">
        <f>LN((L58))</f>
        <v>4.1845914400698785</v>
      </c>
    </row>
    <row r="54" spans="8:17" ht="28.8" x14ac:dyDescent="0.3">
      <c r="H54" s="19" t="s">
        <v>55</v>
      </c>
      <c r="I54" s="19" t="s">
        <v>56</v>
      </c>
      <c r="J54" s="19" t="s">
        <v>57</v>
      </c>
      <c r="K54" s="19" t="s">
        <v>58</v>
      </c>
      <c r="L54" s="18" t="s">
        <v>62</v>
      </c>
      <c r="M54" s="18" t="s">
        <v>63</v>
      </c>
      <c r="N54" s="18" t="s">
        <v>62</v>
      </c>
      <c r="O54" s="18" t="s">
        <v>62</v>
      </c>
    </row>
    <row r="55" spans="8:17" x14ac:dyDescent="0.3">
      <c r="H55" s="17">
        <v>3</v>
      </c>
      <c r="I55" s="17">
        <v>6</v>
      </c>
      <c r="J55" s="17">
        <v>9</v>
      </c>
      <c r="K55" s="17">
        <v>12</v>
      </c>
      <c r="L55" s="36">
        <v>3</v>
      </c>
      <c r="M55" s="36">
        <v>6</v>
      </c>
      <c r="N55" s="36">
        <v>9</v>
      </c>
      <c r="O55" s="17">
        <v>12</v>
      </c>
    </row>
    <row r="56" spans="8:17" x14ac:dyDescent="0.3">
      <c r="H56" s="3">
        <f>$J$49-K49</f>
        <v>217</v>
      </c>
      <c r="I56" s="3">
        <f>$J$49-L49</f>
        <v>42</v>
      </c>
      <c r="J56" s="3">
        <f>$J$49-M49</f>
        <v>-1</v>
      </c>
      <c r="K56" s="3">
        <f>$J$49-N49</f>
        <v>351</v>
      </c>
      <c r="L56" s="3">
        <f>H56/H55</f>
        <v>72.333333333333329</v>
      </c>
      <c r="M56" s="3">
        <f>I56/I55</f>
        <v>7</v>
      </c>
      <c r="N56" s="3">
        <f>J56/J55</f>
        <v>-0.1111111111111111</v>
      </c>
      <c r="O56" s="3">
        <f>K56/K55</f>
        <v>29.25</v>
      </c>
    </row>
    <row r="57" spans="8:17" x14ac:dyDescent="0.3">
      <c r="H57" s="3">
        <f>$J$50-K50</f>
        <v>297</v>
      </c>
      <c r="I57" s="3">
        <f>$J$50-L50</f>
        <v>72</v>
      </c>
      <c r="J57" s="3">
        <f>$J$50-M50</f>
        <v>-51</v>
      </c>
      <c r="K57" s="3">
        <f>$J$50-N50</f>
        <v>303</v>
      </c>
      <c r="L57" s="3">
        <f>H57/H55</f>
        <v>99</v>
      </c>
      <c r="M57" s="3">
        <f>I57/I55</f>
        <v>12</v>
      </c>
      <c r="N57" s="3">
        <f>J57/J55</f>
        <v>-5.666666666666667</v>
      </c>
      <c r="O57" s="3">
        <f>K57/K55</f>
        <v>25.25</v>
      </c>
    </row>
    <row r="58" spans="8:17" x14ac:dyDescent="0.3">
      <c r="H58" s="3">
        <f>$J$51-K51</f>
        <v>197</v>
      </c>
      <c r="I58" s="3">
        <f>$J$51-L51</f>
        <v>38</v>
      </c>
      <c r="J58" s="3">
        <f>$J$51-M51</f>
        <v>32</v>
      </c>
      <c r="K58" s="3">
        <f>$J$51-N51</f>
        <v>323</v>
      </c>
      <c r="L58" s="3">
        <f>H58/H55</f>
        <v>65.666666666666671</v>
      </c>
      <c r="M58" s="3">
        <f>I58/I55</f>
        <v>6.333333333333333</v>
      </c>
      <c r="N58" s="3">
        <f>J58/J55</f>
        <v>3.5555555555555554</v>
      </c>
      <c r="O58" s="3">
        <f>K58/K55</f>
        <v>26.916666666666668</v>
      </c>
    </row>
    <row r="60" spans="8:17" ht="15" thickBot="1" x14ac:dyDescent="0.35"/>
    <row r="61" spans="8:17" ht="15" thickBot="1" x14ac:dyDescent="0.35">
      <c r="H61" s="7" t="s">
        <v>34</v>
      </c>
    </row>
    <row r="62" spans="8:17" ht="28.8" x14ac:dyDescent="0.3">
      <c r="H62" s="20" t="s">
        <v>0</v>
      </c>
      <c r="I62" s="19" t="s">
        <v>38</v>
      </c>
      <c r="J62" s="19" t="s">
        <v>59</v>
      </c>
      <c r="K62" s="19" t="s">
        <v>40</v>
      </c>
      <c r="L62" s="19" t="s">
        <v>41</v>
      </c>
      <c r="M62" s="19" t="s">
        <v>42</v>
      </c>
      <c r="N62" s="19" t="s">
        <v>60</v>
      </c>
      <c r="P62" s="19" t="s">
        <v>38</v>
      </c>
      <c r="Q62" s="19" t="s">
        <v>39</v>
      </c>
    </row>
    <row r="63" spans="8:17" x14ac:dyDescent="0.3">
      <c r="H63" s="2">
        <v>20</v>
      </c>
      <c r="I63" s="3">
        <f>1/(273+H63)*1000</f>
        <v>3.4129692832764507</v>
      </c>
      <c r="J63" s="3">
        <v>1030</v>
      </c>
      <c r="K63" s="3">
        <v>846</v>
      </c>
      <c r="L63" s="3">
        <v>844</v>
      </c>
      <c r="M63" s="3">
        <v>931</v>
      </c>
      <c r="N63" s="3">
        <v>504</v>
      </c>
      <c r="P63" s="3">
        <f>I63</f>
        <v>3.4129692832764507</v>
      </c>
      <c r="Q63" s="3">
        <f>LN((L69))</f>
        <v>4.1163234689408759</v>
      </c>
    </row>
    <row r="64" spans="8:17" x14ac:dyDescent="0.3">
      <c r="H64" s="2">
        <v>40</v>
      </c>
      <c r="I64" s="3">
        <f>1/(273+H64)*1000</f>
        <v>3.1948881789137378</v>
      </c>
      <c r="J64" s="3">
        <v>1030</v>
      </c>
      <c r="K64" s="3">
        <v>863</v>
      </c>
      <c r="L64" s="3">
        <v>912</v>
      </c>
      <c r="M64" s="3">
        <v>923</v>
      </c>
      <c r="N64" s="3">
        <v>618</v>
      </c>
      <c r="P64" s="3">
        <f>I64</f>
        <v>3.1948881789137378</v>
      </c>
      <c r="Q64" s="3">
        <f>LN((L70))</f>
        <v>4.0193815237486454</v>
      </c>
    </row>
    <row r="65" spans="8:17" x14ac:dyDescent="0.3">
      <c r="H65" s="2">
        <v>60</v>
      </c>
      <c r="I65" s="3">
        <f>1/(273+H65)*1000</f>
        <v>3.0030030030030028</v>
      </c>
      <c r="J65" s="3">
        <v>1030</v>
      </c>
      <c r="K65" s="3">
        <v>882</v>
      </c>
      <c r="L65" s="3">
        <v>902</v>
      </c>
      <c r="M65" s="4">
        <v>959</v>
      </c>
      <c r="N65" s="3">
        <v>979</v>
      </c>
      <c r="P65" s="3">
        <f>I65</f>
        <v>3.0030030030030028</v>
      </c>
      <c r="Q65" s="3">
        <f>LN((L71))</f>
        <v>4.9972122737641147</v>
      </c>
    </row>
    <row r="67" spans="8:17" ht="28.8" x14ac:dyDescent="0.3">
      <c r="H67" s="19" t="s">
        <v>55</v>
      </c>
      <c r="I67" s="19" t="s">
        <v>56</v>
      </c>
      <c r="J67" s="19" t="s">
        <v>57</v>
      </c>
      <c r="K67" s="19" t="s">
        <v>58</v>
      </c>
      <c r="L67" s="18" t="s">
        <v>62</v>
      </c>
      <c r="M67" s="18" t="s">
        <v>63</v>
      </c>
      <c r="N67" s="18" t="s">
        <v>62</v>
      </c>
      <c r="O67" s="18" t="s">
        <v>62</v>
      </c>
    </row>
    <row r="68" spans="8:17" x14ac:dyDescent="0.3">
      <c r="H68" s="17">
        <v>3</v>
      </c>
      <c r="I68" s="17">
        <v>6</v>
      </c>
      <c r="J68" s="17">
        <v>9</v>
      </c>
      <c r="K68" s="17">
        <v>12</v>
      </c>
      <c r="L68" s="17">
        <v>3</v>
      </c>
      <c r="M68" s="17">
        <v>6</v>
      </c>
      <c r="N68" s="17">
        <v>9</v>
      </c>
      <c r="O68" s="17">
        <v>12</v>
      </c>
    </row>
    <row r="69" spans="8:17" x14ac:dyDescent="0.3">
      <c r="H69" s="3">
        <f>$J$63-K63</f>
        <v>184</v>
      </c>
      <c r="I69" s="3">
        <f>$J$63-L63</f>
        <v>186</v>
      </c>
      <c r="J69" s="3">
        <f>$J$63-M63</f>
        <v>99</v>
      </c>
      <c r="K69" s="3">
        <f>$J$63-N63</f>
        <v>526</v>
      </c>
      <c r="L69" s="3">
        <f>H69/H68</f>
        <v>61.333333333333336</v>
      </c>
      <c r="M69" s="3">
        <f>I69/I68</f>
        <v>31</v>
      </c>
      <c r="N69" s="3">
        <f>J69/J68</f>
        <v>11</v>
      </c>
      <c r="O69" s="3">
        <f>K69/K68</f>
        <v>43.833333333333336</v>
      </c>
    </row>
    <row r="70" spans="8:17" x14ac:dyDescent="0.3">
      <c r="H70" s="3">
        <f>$J$64-K64</f>
        <v>167</v>
      </c>
      <c r="I70" s="3">
        <f>$J$64-L64</f>
        <v>118</v>
      </c>
      <c r="J70" s="3">
        <f>$J$64-M64</f>
        <v>107</v>
      </c>
      <c r="K70" s="3">
        <f>$J$64-N64</f>
        <v>412</v>
      </c>
      <c r="L70" s="3">
        <f>H70/H68</f>
        <v>55.666666666666664</v>
      </c>
      <c r="M70" s="3">
        <f>I70/I68</f>
        <v>19.666666666666668</v>
      </c>
      <c r="N70" s="3">
        <f>J70/J68</f>
        <v>11.888888888888889</v>
      </c>
      <c r="O70" s="3">
        <f>K70/K68</f>
        <v>34.333333333333336</v>
      </c>
    </row>
    <row r="71" spans="8:17" x14ac:dyDescent="0.3">
      <c r="H71" s="3">
        <f>$J$65-K65</f>
        <v>148</v>
      </c>
      <c r="I71" s="3">
        <f>$J$65-L65</f>
        <v>128</v>
      </c>
      <c r="J71" s="3">
        <f>$J$65-M65</f>
        <v>71</v>
      </c>
      <c r="K71" s="3">
        <f>$J$65-N65</f>
        <v>51</v>
      </c>
      <c r="L71" s="3">
        <f>H71</f>
        <v>148</v>
      </c>
      <c r="M71" s="3">
        <f>I71</f>
        <v>128</v>
      </c>
      <c r="N71" s="3">
        <f>J71</f>
        <v>71</v>
      </c>
      <c r="O71" s="3">
        <f>K71</f>
        <v>51</v>
      </c>
    </row>
    <row r="73" spans="8:17" ht="15" thickBot="1" x14ac:dyDescent="0.35"/>
    <row r="74" spans="8:17" ht="15" thickBot="1" x14ac:dyDescent="0.35">
      <c r="H74" s="7" t="s">
        <v>35</v>
      </c>
    </row>
    <row r="75" spans="8:17" ht="28.8" x14ac:dyDescent="0.3">
      <c r="H75" s="20" t="s">
        <v>0</v>
      </c>
      <c r="I75" s="19" t="s">
        <v>38</v>
      </c>
      <c r="J75" s="19" t="s">
        <v>59</v>
      </c>
      <c r="K75" s="19" t="s">
        <v>40</v>
      </c>
      <c r="L75" s="19" t="s">
        <v>41</v>
      </c>
      <c r="M75" s="19" t="s">
        <v>42</v>
      </c>
      <c r="N75" s="19" t="s">
        <v>60</v>
      </c>
      <c r="P75" s="19" t="s">
        <v>38</v>
      </c>
      <c r="Q75" s="19" t="s">
        <v>39</v>
      </c>
    </row>
    <row r="76" spans="8:17" x14ac:dyDescent="0.3">
      <c r="H76" s="2">
        <v>20</v>
      </c>
      <c r="I76" s="3">
        <f>1/(H76+273)*1000</f>
        <v>3.4129692832764507</v>
      </c>
      <c r="J76" s="3">
        <v>1030</v>
      </c>
      <c r="K76" s="3">
        <v>852</v>
      </c>
      <c r="L76" s="3">
        <v>935</v>
      </c>
      <c r="M76" s="3">
        <v>1020</v>
      </c>
      <c r="N76" s="16">
        <v>1060</v>
      </c>
      <c r="P76" s="3">
        <f>I76</f>
        <v>3.4129692832764507</v>
      </c>
      <c r="Q76" s="3">
        <f>LN((L83))</f>
        <v>4.0831712616239759</v>
      </c>
    </row>
    <row r="77" spans="8:17" x14ac:dyDescent="0.3">
      <c r="H77" s="2">
        <v>40</v>
      </c>
      <c r="I77" s="3">
        <f>1/(H77+273)*1000</f>
        <v>3.1948881789137378</v>
      </c>
      <c r="J77" s="3">
        <v>1030</v>
      </c>
      <c r="K77" s="3">
        <v>849</v>
      </c>
      <c r="L77" s="3">
        <v>895</v>
      </c>
      <c r="M77" s="3">
        <v>929</v>
      </c>
      <c r="N77" s="16">
        <v>760</v>
      </c>
      <c r="P77" s="3">
        <f>I77</f>
        <v>3.1948881789137378</v>
      </c>
      <c r="Q77" s="3">
        <f>LN((L84))</f>
        <v>4.0998847425977161</v>
      </c>
    </row>
    <row r="78" spans="8:17" x14ac:dyDescent="0.3">
      <c r="H78" s="2">
        <v>60</v>
      </c>
      <c r="I78" s="3">
        <f>1/(H78+273)*1000</f>
        <v>3.0030030030030028</v>
      </c>
      <c r="J78" s="3">
        <v>1030</v>
      </c>
      <c r="K78" s="3">
        <v>955</v>
      </c>
      <c r="L78" s="3">
        <v>910</v>
      </c>
      <c r="M78" s="3">
        <v>885</v>
      </c>
      <c r="N78" s="16">
        <v>766</v>
      </c>
      <c r="P78" s="3">
        <f>I78</f>
        <v>3.0030030030030028</v>
      </c>
      <c r="Q78" s="3">
        <f>LN((L85))</f>
        <v>3.2188758248682006</v>
      </c>
    </row>
    <row r="81" spans="8:15" ht="28.8" x14ac:dyDescent="0.3">
      <c r="H81" s="19" t="s">
        <v>55</v>
      </c>
      <c r="I81" s="19" t="s">
        <v>56</v>
      </c>
      <c r="J81" s="19" t="s">
        <v>57</v>
      </c>
      <c r="K81" s="19" t="s">
        <v>58</v>
      </c>
      <c r="L81" s="18" t="s">
        <v>62</v>
      </c>
      <c r="M81" s="18" t="s">
        <v>63</v>
      </c>
      <c r="N81" s="18" t="s">
        <v>62</v>
      </c>
      <c r="O81" s="18" t="s">
        <v>62</v>
      </c>
    </row>
    <row r="82" spans="8:15" x14ac:dyDescent="0.3">
      <c r="H82" s="17">
        <v>3</v>
      </c>
      <c r="I82" s="17">
        <v>6</v>
      </c>
      <c r="J82" s="17">
        <v>9</v>
      </c>
      <c r="K82" s="17">
        <v>12</v>
      </c>
      <c r="L82" s="17">
        <v>3</v>
      </c>
      <c r="M82" s="17">
        <v>6</v>
      </c>
      <c r="N82" s="17">
        <v>9</v>
      </c>
      <c r="O82" s="17">
        <v>12</v>
      </c>
    </row>
    <row r="83" spans="8:15" x14ac:dyDescent="0.3">
      <c r="H83" s="3">
        <f>$J$76-K76</f>
        <v>178</v>
      </c>
      <c r="I83" s="3">
        <f>$J$76-L76</f>
        <v>95</v>
      </c>
      <c r="J83" s="3">
        <f>$J$76-M76</f>
        <v>10</v>
      </c>
      <c r="K83" s="3">
        <f>$J$76-N76</f>
        <v>-30</v>
      </c>
      <c r="L83" s="3">
        <f>H83/H82</f>
        <v>59.333333333333336</v>
      </c>
      <c r="M83" s="3">
        <f>I83/I82</f>
        <v>15.833333333333334</v>
      </c>
      <c r="N83" s="3">
        <f>J83/J82</f>
        <v>1.1111111111111112</v>
      </c>
      <c r="O83" s="3">
        <f>K83/K82</f>
        <v>-2.5</v>
      </c>
    </row>
    <row r="84" spans="8:15" x14ac:dyDescent="0.3">
      <c r="H84" s="3">
        <f>$J$77-K77</f>
        <v>181</v>
      </c>
      <c r="I84" s="3">
        <f>$J$77-L77</f>
        <v>135</v>
      </c>
      <c r="J84" s="3">
        <f>$J$77-M77</f>
        <v>101</v>
      </c>
      <c r="K84" s="3">
        <f>$J$77-N77</f>
        <v>270</v>
      </c>
      <c r="L84" s="3">
        <f>H84/H82</f>
        <v>60.333333333333336</v>
      </c>
      <c r="M84" s="3">
        <f>I84/I82</f>
        <v>22.5</v>
      </c>
      <c r="N84" s="3">
        <f>J84/J82</f>
        <v>11.222222222222221</v>
      </c>
      <c r="O84" s="3">
        <f>K84/K82</f>
        <v>22.5</v>
      </c>
    </row>
    <row r="85" spans="8:15" x14ac:dyDescent="0.3">
      <c r="H85" s="3">
        <f>$J$78-K78</f>
        <v>75</v>
      </c>
      <c r="I85" s="3">
        <f>$J$78-L78</f>
        <v>120</v>
      </c>
      <c r="J85" s="3">
        <f>$J$78-M78</f>
        <v>145</v>
      </c>
      <c r="K85" s="3">
        <f>$J$78-N78</f>
        <v>264</v>
      </c>
      <c r="L85" s="3">
        <f>H85/H82</f>
        <v>25</v>
      </c>
      <c r="M85" s="3">
        <f>I85/I82</f>
        <v>20</v>
      </c>
      <c r="N85" s="3">
        <f>J85/J82</f>
        <v>16.111111111111111</v>
      </c>
      <c r="O85" s="3">
        <f>K85/K82</f>
        <v>22</v>
      </c>
    </row>
  </sheetData>
  <mergeCells count="2">
    <mergeCell ref="C6:D6"/>
    <mergeCell ref="E6:F6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d2147e-7988-4fcf-ad0c-52bc379c8a34" xsi:nil="true"/>
    <lcf76f155ced4ddcb4097134ff3c332f xmlns="35701795-6006-4863-8082-d51d28cabaa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A91340AA816B44D841116FDC3E86C24" ma:contentTypeVersion="12" ma:contentTypeDescription="Opprett et nytt dokument." ma:contentTypeScope="" ma:versionID="899300921ba559a9e06644923e6a6894">
  <xsd:schema xmlns:xsd="http://www.w3.org/2001/XMLSchema" xmlns:xs="http://www.w3.org/2001/XMLSchema" xmlns:p="http://schemas.microsoft.com/office/2006/metadata/properties" xmlns:ns2="35701795-6006-4863-8082-d51d28cabaae" xmlns:ns3="4bd2147e-7988-4fcf-ad0c-52bc379c8a34" targetNamespace="http://schemas.microsoft.com/office/2006/metadata/properties" ma:root="true" ma:fieldsID="24a2b468d1e527283b65a6a379b7c8b3" ns2:_="" ns3:_="">
    <xsd:import namespace="35701795-6006-4863-8082-d51d28cabaae"/>
    <xsd:import namespace="4bd2147e-7988-4fcf-ad0c-52bc379c8a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701795-6006-4863-8082-d51d28caba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emerkelapper" ma:readOnly="false" ma:fieldId="{5cf76f15-5ced-4ddc-b409-7134ff3c332f}" ma:taxonomyMulti="true" ma:sspId="7d912fff-f0be-4533-ba2b-d4ff65658f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d2147e-7988-4fcf-ad0c-52bc379c8a3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5f7bd40-5646-4e53-ad70-e237f2fbaa3a}" ma:internalName="TaxCatchAll" ma:showField="CatchAllData" ma:web="4bd2147e-7988-4fcf-ad0c-52bc379c8a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2F59FC-69A5-4A8A-B57E-2512873A0DBF}">
  <ds:schemaRefs>
    <ds:schemaRef ds:uri="http://purl.org/dc/elements/1.1/"/>
    <ds:schemaRef ds:uri="35701795-6006-4863-8082-d51d28cabaae"/>
    <ds:schemaRef ds:uri="http://schemas.microsoft.com/office/2006/metadata/properties"/>
    <ds:schemaRef ds:uri="http://purl.org/dc/terms/"/>
    <ds:schemaRef ds:uri="4bd2147e-7988-4fcf-ad0c-52bc379c8a34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FF89C20-F913-485B-BA3B-D776117890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D001C9-CCA8-4B22-88A1-71EBE6570A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701795-6006-4863-8082-d51d28cabaae"/>
    <ds:schemaRef ds:uri="4bd2147e-7988-4fcf-ad0c-52bc379c8a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PLA</vt:lpstr>
      <vt:lpstr>PETG</vt:lpstr>
      <vt:lpstr>ASA</vt:lpstr>
      <vt:lpstr>Arrhenius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Enerhaugen Thrane</dc:creator>
  <cp:lastModifiedBy>Emilie Enerhaugen Thrane</cp:lastModifiedBy>
  <dcterms:created xsi:type="dcterms:W3CDTF">2026-04-16T08:29:09Z</dcterms:created>
  <dcterms:modified xsi:type="dcterms:W3CDTF">2026-05-19T19:10:23Z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0x0101008A91340AA816B44D841116FDC3E86C24</vt:lpwstr>
  </property>
  <property fmtid="{D5CDD505-2E9C-101B-9397-08002B2CF9AE}" pid="3" name="MediaServiceImageTags">
    <vt:lpwstr/>
  </property>
</Properties>
</file>