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5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6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9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20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3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4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5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6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7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3.xml" ContentType="application/vnd.openxmlformats-officedocument.drawing+xml"/>
  <Override PartName="/xl/charts/chart28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31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32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5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6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9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40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41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42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43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drawings/drawing4.xml" ContentType="application/vnd.openxmlformats-officedocument.drawing+xml"/>
  <Override PartName="/xl/charts/chart44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7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8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51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54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55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56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57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58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9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sn.sharepoint.com/sites/Testingav3D-printedeplastdelerforundervannsbruk/Shared Documents/General/Vedlegg/"/>
    </mc:Choice>
  </mc:AlternateContent>
  <xr:revisionPtr revIDLastSave="1014" documentId="8_{10AED573-9592-4D07-B7E6-C4C48E74EB1B}" xr6:coauthVersionLast="47" xr6:coauthVersionMax="47" xr10:uidLastSave="{8C07BFB7-8418-4F4F-9281-A512B8A7B480}"/>
  <bookViews>
    <workbookView xWindow="-120" yWindow="-120" windowWidth="29040" windowHeight="15720" xr2:uid="{00000000-000D-0000-FFFF-FFFF00000000}"/>
  </bookViews>
  <sheets>
    <sheet name="Sammenligning" sheetId="6" r:id="rId1"/>
    <sheet name="PLA" sheetId="1" r:id="rId2"/>
    <sheet name="PETG" sheetId="2" r:id="rId3"/>
    <sheet name="ASA" sheetId="3" r:id="rId4"/>
    <sheet name="ordliste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6" i="1" l="1"/>
  <c r="T7" i="1"/>
  <c r="T8" i="1"/>
  <c r="T9" i="1"/>
  <c r="Q6" i="1"/>
  <c r="Q7" i="1"/>
  <c r="Q8" i="1"/>
  <c r="Q9" i="1"/>
  <c r="Y56" i="3" l="1"/>
  <c r="V56" i="3"/>
  <c r="S56" i="3"/>
  <c r="P56" i="3"/>
  <c r="M56" i="3"/>
  <c r="J56" i="3"/>
  <c r="G56" i="3"/>
  <c r="D56" i="3"/>
  <c r="Y55" i="3"/>
  <c r="V55" i="3"/>
  <c r="S55" i="3"/>
  <c r="P55" i="3"/>
  <c r="M55" i="3"/>
  <c r="J55" i="3"/>
  <c r="G55" i="3"/>
  <c r="D55" i="3"/>
  <c r="Y54" i="3"/>
  <c r="V54" i="3"/>
  <c r="S54" i="3"/>
  <c r="P54" i="3"/>
  <c r="M54" i="3"/>
  <c r="J54" i="3"/>
  <c r="G54" i="3"/>
  <c r="D54" i="3"/>
  <c r="Y53" i="3"/>
  <c r="V53" i="3"/>
  <c r="S53" i="3"/>
  <c r="P53" i="3"/>
  <c r="M53" i="3"/>
  <c r="J53" i="3"/>
  <c r="G53" i="3"/>
  <c r="D53" i="3"/>
  <c r="Y52" i="3"/>
  <c r="V52" i="3"/>
  <c r="S52" i="3"/>
  <c r="P52" i="3"/>
  <c r="M52" i="3"/>
  <c r="J52" i="3"/>
  <c r="G52" i="3"/>
  <c r="D52" i="3"/>
  <c r="Y32" i="3"/>
  <c r="V32" i="3"/>
  <c r="S32" i="3"/>
  <c r="P32" i="3"/>
  <c r="M32" i="3"/>
  <c r="J32" i="3"/>
  <c r="G32" i="3"/>
  <c r="D32" i="3"/>
  <c r="Y31" i="3"/>
  <c r="V31" i="3"/>
  <c r="S31" i="3"/>
  <c r="P31" i="3"/>
  <c r="M31" i="3"/>
  <c r="J31" i="3"/>
  <c r="G31" i="3"/>
  <c r="D31" i="3"/>
  <c r="Y30" i="3"/>
  <c r="V30" i="3"/>
  <c r="S30" i="3"/>
  <c r="P30" i="3"/>
  <c r="M30" i="3"/>
  <c r="J30" i="3"/>
  <c r="G30" i="3"/>
  <c r="D30" i="3"/>
  <c r="Y29" i="3"/>
  <c r="V29" i="3"/>
  <c r="S29" i="3"/>
  <c r="P29" i="3"/>
  <c r="M29" i="3"/>
  <c r="J29" i="3"/>
  <c r="G29" i="3"/>
  <c r="D29" i="3"/>
  <c r="Y28" i="3"/>
  <c r="V28" i="3"/>
  <c r="S28" i="3"/>
  <c r="P28" i="3"/>
  <c r="M28" i="3"/>
  <c r="J28" i="3"/>
  <c r="G28" i="3"/>
  <c r="D28" i="3"/>
  <c r="Y56" i="2"/>
  <c r="V56" i="2"/>
  <c r="S56" i="2"/>
  <c r="P56" i="2"/>
  <c r="M56" i="2"/>
  <c r="J56" i="2"/>
  <c r="G56" i="2"/>
  <c r="D56" i="2"/>
  <c r="Y55" i="2"/>
  <c r="V55" i="2"/>
  <c r="S55" i="2"/>
  <c r="P55" i="2"/>
  <c r="M55" i="2"/>
  <c r="J55" i="2"/>
  <c r="G55" i="2"/>
  <c r="D55" i="2"/>
  <c r="Y54" i="2"/>
  <c r="V54" i="2"/>
  <c r="S54" i="2"/>
  <c r="P54" i="2"/>
  <c r="M54" i="2"/>
  <c r="J54" i="2"/>
  <c r="G54" i="2"/>
  <c r="D54" i="2"/>
  <c r="Y53" i="2"/>
  <c r="V53" i="2"/>
  <c r="S53" i="2"/>
  <c r="P53" i="2"/>
  <c r="M53" i="2"/>
  <c r="J53" i="2"/>
  <c r="G53" i="2"/>
  <c r="D53" i="2"/>
  <c r="Y52" i="2"/>
  <c r="V52" i="2"/>
  <c r="S52" i="2"/>
  <c r="P52" i="2"/>
  <c r="M52" i="2"/>
  <c r="J52" i="2"/>
  <c r="G52" i="2"/>
  <c r="D52" i="2"/>
  <c r="Y32" i="2"/>
  <c r="V32" i="2"/>
  <c r="S32" i="2"/>
  <c r="P32" i="2"/>
  <c r="M32" i="2"/>
  <c r="J32" i="2"/>
  <c r="G32" i="2"/>
  <c r="D32" i="2"/>
  <c r="Y31" i="2"/>
  <c r="V31" i="2"/>
  <c r="S31" i="2"/>
  <c r="P31" i="2"/>
  <c r="M31" i="2"/>
  <c r="J31" i="2"/>
  <c r="G31" i="2"/>
  <c r="D31" i="2"/>
  <c r="Y30" i="2"/>
  <c r="V30" i="2"/>
  <c r="S30" i="2"/>
  <c r="P30" i="2"/>
  <c r="M30" i="2"/>
  <c r="J30" i="2"/>
  <c r="G30" i="2"/>
  <c r="D30" i="2"/>
  <c r="Y29" i="2"/>
  <c r="V29" i="2"/>
  <c r="S29" i="2"/>
  <c r="P29" i="2"/>
  <c r="M29" i="2"/>
  <c r="J29" i="2"/>
  <c r="G29" i="2"/>
  <c r="D29" i="2"/>
  <c r="Y28" i="2"/>
  <c r="V28" i="2"/>
  <c r="S28" i="2"/>
  <c r="P28" i="2"/>
  <c r="M28" i="2"/>
  <c r="J28" i="2"/>
  <c r="G28" i="2"/>
  <c r="D28" i="2"/>
  <c r="Y8" i="3"/>
  <c r="V8" i="3"/>
  <c r="S8" i="3"/>
  <c r="P8" i="3"/>
  <c r="M8" i="3"/>
  <c r="J8" i="3"/>
  <c r="G8" i="3"/>
  <c r="D8" i="3"/>
  <c r="Y7" i="3"/>
  <c r="V7" i="3"/>
  <c r="S7" i="3"/>
  <c r="P7" i="3"/>
  <c r="M7" i="3"/>
  <c r="J7" i="3"/>
  <c r="G7" i="3"/>
  <c r="D7" i="3"/>
  <c r="Y6" i="3"/>
  <c r="V6" i="3"/>
  <c r="S6" i="3"/>
  <c r="P6" i="3"/>
  <c r="M6" i="3"/>
  <c r="J6" i="3"/>
  <c r="G6" i="3"/>
  <c r="D6" i="3"/>
  <c r="Y5" i="3"/>
  <c r="V5" i="3"/>
  <c r="S5" i="3"/>
  <c r="P5" i="3"/>
  <c r="M5" i="3"/>
  <c r="J5" i="3"/>
  <c r="G5" i="3"/>
  <c r="D5" i="3"/>
  <c r="Y4" i="3"/>
  <c r="V4" i="3"/>
  <c r="S4" i="3"/>
  <c r="P4" i="3"/>
  <c r="M4" i="3"/>
  <c r="J4" i="3"/>
  <c r="G4" i="3"/>
  <c r="D4" i="3"/>
  <c r="Y8" i="2"/>
  <c r="V8" i="2"/>
  <c r="S8" i="2"/>
  <c r="P8" i="2"/>
  <c r="M8" i="2"/>
  <c r="J8" i="2"/>
  <c r="G8" i="2"/>
  <c r="D8" i="2"/>
  <c r="Y7" i="2"/>
  <c r="V7" i="2"/>
  <c r="S7" i="2"/>
  <c r="P7" i="2"/>
  <c r="M7" i="2"/>
  <c r="J7" i="2"/>
  <c r="G7" i="2"/>
  <c r="D7" i="2"/>
  <c r="Y6" i="2"/>
  <c r="V6" i="2"/>
  <c r="S6" i="2"/>
  <c r="P6" i="2"/>
  <c r="M6" i="2"/>
  <c r="J6" i="2"/>
  <c r="G6" i="2"/>
  <c r="D6" i="2"/>
  <c r="Y5" i="2"/>
  <c r="V5" i="2"/>
  <c r="S5" i="2"/>
  <c r="P5" i="2"/>
  <c r="M5" i="2"/>
  <c r="J5" i="2"/>
  <c r="G5" i="2"/>
  <c r="D5" i="2"/>
  <c r="Y4" i="2"/>
  <c r="V4" i="2"/>
  <c r="S4" i="2"/>
  <c r="P4" i="2"/>
  <c r="M4" i="2"/>
  <c r="J4" i="2"/>
  <c r="G4" i="2"/>
  <c r="D4" i="2"/>
  <c r="Z54" i="1"/>
  <c r="W54" i="1"/>
  <c r="T54" i="1"/>
  <c r="Q54" i="1"/>
  <c r="N54" i="1"/>
  <c r="K54" i="1"/>
  <c r="H54" i="1"/>
  <c r="E54" i="1"/>
  <c r="Z53" i="1"/>
  <c r="W53" i="1"/>
  <c r="T53" i="1"/>
  <c r="Q53" i="1"/>
  <c r="N53" i="1"/>
  <c r="K53" i="1"/>
  <c r="H53" i="1"/>
  <c r="E53" i="1"/>
  <c r="Z33" i="1"/>
  <c r="W33" i="1"/>
  <c r="T33" i="1"/>
  <c r="Q33" i="1"/>
  <c r="N33" i="1"/>
  <c r="K33" i="1"/>
  <c r="H33" i="1"/>
  <c r="E33" i="1"/>
  <c r="Z32" i="1"/>
  <c r="W32" i="1"/>
  <c r="T32" i="1"/>
  <c r="Q32" i="1"/>
  <c r="N32" i="1"/>
  <c r="K32" i="1"/>
  <c r="H32" i="1"/>
  <c r="E32" i="1"/>
  <c r="Z31" i="1"/>
  <c r="W31" i="1"/>
  <c r="T31" i="1"/>
  <c r="Q31" i="1"/>
  <c r="N31" i="1"/>
  <c r="K31" i="1"/>
  <c r="H31" i="1"/>
  <c r="E31" i="1"/>
  <c r="Z30" i="1"/>
  <c r="W30" i="1"/>
  <c r="T30" i="1"/>
  <c r="Q30" i="1"/>
  <c r="N30" i="1"/>
  <c r="K30" i="1"/>
  <c r="H30" i="1"/>
  <c r="E30" i="1"/>
  <c r="Z29" i="1"/>
  <c r="W29" i="1"/>
  <c r="T29" i="1"/>
  <c r="Q29" i="1"/>
  <c r="N29" i="1"/>
  <c r="K29" i="1"/>
  <c r="H29" i="1"/>
  <c r="E29" i="1"/>
  <c r="N6" i="1"/>
  <c r="N7" i="1"/>
  <c r="N8" i="1"/>
  <c r="N9" i="1"/>
  <c r="N5" i="1"/>
  <c r="Z6" i="1"/>
  <c r="Z7" i="1"/>
  <c r="Z8" i="1"/>
  <c r="Z9" i="1"/>
  <c r="Z5" i="1"/>
  <c r="K6" i="1"/>
  <c r="K7" i="1"/>
  <c r="K8" i="1"/>
  <c r="K9" i="1"/>
  <c r="K5" i="1"/>
  <c r="W6" i="1"/>
  <c r="W7" i="1"/>
  <c r="W8" i="1"/>
  <c r="W9" i="1"/>
  <c r="W5" i="1"/>
  <c r="H6" i="1"/>
  <c r="H7" i="1"/>
  <c r="H8" i="1"/>
  <c r="H9" i="1"/>
  <c r="H5" i="1"/>
  <c r="E6" i="1"/>
  <c r="E7" i="1"/>
  <c r="E8" i="1"/>
  <c r="E9" i="1"/>
  <c r="E5" i="1"/>
  <c r="T5" i="1"/>
  <c r="Q5" i="1"/>
</calcChain>
</file>

<file path=xl/sharedStrings.xml><?xml version="1.0" encoding="utf-8"?>
<sst xmlns="http://schemas.openxmlformats.org/spreadsheetml/2006/main" count="447" uniqueCount="80">
  <si>
    <t>PLA 20*C</t>
  </si>
  <si>
    <t>uke 0 består kun av strekktester rett ut fra printer i romtemp*</t>
  </si>
  <si>
    <t>Uke </t>
  </si>
  <si>
    <t>SD
(våt)</t>
  </si>
  <si>
    <t>SD/2
(våt)</t>
  </si>
  <si>
    <t>SD</t>
  </si>
  <si>
    <t>SD/2</t>
  </si>
  <si>
    <t>SD (tørr)</t>
  </si>
  <si>
    <t>SD/2
(tørr)</t>
  </si>
  <si>
    <t>PLA 40*C</t>
  </si>
  <si>
    <t>PLA 60*C</t>
  </si>
  <si>
    <t>PETG 20*C</t>
  </si>
  <si>
    <t>PETG 40*C</t>
  </si>
  <si>
    <t>PETG 60*C</t>
  </si>
  <si>
    <t>ASA 20*C</t>
  </si>
  <si>
    <t>ASA 40*C</t>
  </si>
  <si>
    <t>ASA 60*C</t>
  </si>
  <si>
    <t>n/a</t>
  </si>
  <si>
    <t>Flytespenning (0,2%) 
[MPa]
våt</t>
  </si>
  <si>
    <t>Flytespenning (0,2%) 
[MPa]
tørr </t>
  </si>
  <si>
    <t>Flytespenning 
(0,2%) 
[MPa]
våt</t>
  </si>
  <si>
    <t>Flytespenning 
(0,2%) 
[MPa]
tørr </t>
  </si>
  <si>
    <t>Flytespenning </t>
  </si>
  <si>
    <t>Norsk</t>
  </si>
  <si>
    <t>Engelsk</t>
  </si>
  <si>
    <t>(symbol)</t>
  </si>
  <si>
    <t>Offset Yield</t>
  </si>
  <si>
    <r>
      <rPr>
        <sz val="11"/>
        <color theme="1"/>
        <rFont val="Aptos"/>
        <family val="2"/>
      </rPr>
      <t>σ</t>
    </r>
    <r>
      <rPr>
        <sz val="11"/>
        <color theme="1"/>
        <rFont val="Calibri"/>
        <family val="2"/>
      </rPr>
      <t>F</t>
    </r>
  </si>
  <si>
    <t>σB</t>
  </si>
  <si>
    <t>Ultimate Tensile Strength</t>
  </si>
  <si>
    <t>Strekkfasthet</t>
  </si>
  <si>
    <t>Elastisitetsmodul</t>
  </si>
  <si>
    <t>Elastisitetsmodul
[MPa] 
Våt</t>
  </si>
  <si>
    <t>Elastisitetsmodul
[MPa] 
Tørr</t>
  </si>
  <si>
    <t>(E)lastic Modulus</t>
  </si>
  <si>
    <t>E</t>
  </si>
  <si>
    <t>Tøyning</t>
  </si>
  <si>
    <t>Elongation</t>
  </si>
  <si>
    <t>ε</t>
  </si>
  <si>
    <t>σy₀.₂</t>
  </si>
  <si>
    <t>Yield Strength (0.2%)</t>
  </si>
  <si>
    <t>Flytegrense (0.2%)</t>
  </si>
  <si>
    <t>Strekkfasthet
[Mpa] 
våt</t>
  </si>
  <si>
    <t>Strekkfasthet
[Mpa] 
tørr</t>
  </si>
  <si>
    <t>Tøyning 
(%) 
våt</t>
  </si>
  <si>
    <t>Våte prøver - strekt rett etter opptak</t>
  </si>
  <si>
    <t>Tørr - Strekt etter en tørketid i romtemp etter 48t</t>
  </si>
  <si>
    <t>Våt - strekt rett etter opptak</t>
  </si>
  <si>
    <t>Tøyning 
(%) 
tørr</t>
  </si>
  <si>
    <t>Flytespenning som var regnet feil av strekkmaskinen
(0,2%) [MPa] våt</t>
  </si>
  <si>
    <t>Flytespenning som var regnet feil av strekkmaskinen
(0,2%) [MPa] tørr</t>
  </si>
  <si>
    <t>Uke</t>
  </si>
  <si>
    <t>SD våt</t>
  </si>
  <si>
    <t>SD tørr</t>
  </si>
  <si>
    <t>SAMMENLIGNING — Grafer for hovedtekst</t>
  </si>
  <si>
    <t>A. Elastisitetsmodul på tvers av materialer</t>
  </si>
  <si>
    <t>20 °C</t>
  </si>
  <si>
    <t>PLA Tørr</t>
  </si>
  <si>
    <t>PLA Våt</t>
  </si>
  <si>
    <t>PETG Tørr</t>
  </si>
  <si>
    <t>PETG Våt</t>
  </si>
  <si>
    <t>ASA Tørr</t>
  </si>
  <si>
    <t>ASA Våt</t>
  </si>
  <si>
    <t>40 °C</t>
  </si>
  <si>
    <t>60 °C</t>
  </si>
  <si>
    <t>B. Prosentvis endring uke 0 → 12</t>
  </si>
  <si>
    <t>Elastisitetsmodul — % endring</t>
  </si>
  <si>
    <t>Kombinasjon</t>
  </si>
  <si>
    <t>Tørr</t>
  </si>
  <si>
    <t>Våt</t>
  </si>
  <si>
    <t>PLA 20 °C</t>
  </si>
  <si>
    <t>PLA 40 °C</t>
  </si>
  <si>
    <t>PLA 60 °C</t>
  </si>
  <si>
    <t>PETG 20 °C</t>
  </si>
  <si>
    <t>PETG 40 °C</t>
  </si>
  <si>
    <t>PETG 60 °C</t>
  </si>
  <si>
    <t>ASA 20 °C</t>
  </si>
  <si>
    <t>ASA 40 °C</t>
  </si>
  <si>
    <t>ASA 60 °C</t>
  </si>
  <si>
    <t>Strekkfasthet — % endring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</si>
</sst>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ptos"/>
      <family val="2"/>
    </font>
    <font>
      <sz val="11"/>
      <color theme="1"/>
      <name val="Aptos"/>
      <family val="2"/>
    </font>
    <font>
      <sz val="12"/>
      <name val="Aptos"/>
      <family val="2"/>
    </font>
    <font>
      <sz val="12"/>
      <color rgb="FF242424"/>
      <name val="Aptos"/>
      <family val="2"/>
    </font>
    <font>
      <sz val="12"/>
      <color theme="1"/>
      <name val="Aptos"/>
      <family val="2"/>
    </font>
    <font>
      <sz val="12"/>
      <name val="Aptos"/>
      <family val="2"/>
    </font>
    <font>
      <sz val="12"/>
      <color theme="1"/>
      <name val="Aptos"/>
      <family val="2"/>
    </font>
    <font>
      <sz val="12"/>
      <color rgb="FF242424"/>
      <name val="Aptos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sz val="11"/>
      <color theme="1"/>
      <name val="Aptos"/>
    </font>
    <font>
      <b/>
      <sz val="14"/>
      <color theme="1"/>
      <name val="Calibri"/>
      <family val="2"/>
      <scheme val="minor"/>
    </font>
    <font>
      <b/>
      <sz val="14"/>
      <color theme="1"/>
      <name val="Calibri"/>
      <scheme val="minor"/>
    </font>
    <font>
      <b/>
      <sz val="11"/>
      <color rgb="FF1F4E79"/>
      <name val="Calibri"/>
      <family val="2"/>
      <scheme val="minor"/>
    </font>
    <font>
      <sz val="10"/>
      <color theme="1"/>
      <name val="Calibri"/>
      <scheme val="minor"/>
    </font>
    <font>
      <b/>
      <sz val="10"/>
      <color theme="1"/>
      <name val="Calibri"/>
      <scheme val="minor"/>
    </font>
    <font>
      <b/>
      <sz val="10"/>
      <color rgb="FF1F4E79"/>
      <name val="Calibri"/>
      <scheme val="minor"/>
    </font>
    <font>
      <b/>
      <sz val="16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 wrapText="1"/>
    </xf>
    <xf numFmtId="2" fontId="3" fillId="0" borderId="2" xfId="0" applyNumberFormat="1" applyFont="1" applyBorder="1" applyAlignment="1">
      <alignment horizontal="center"/>
    </xf>
    <xf numFmtId="2" fontId="3" fillId="0" borderId="10" xfId="0" applyNumberFormat="1" applyFont="1" applyBorder="1" applyAlignment="1">
      <alignment horizontal="center"/>
    </xf>
    <xf numFmtId="2" fontId="3" fillId="0" borderId="14" xfId="0" applyNumberFormat="1" applyFont="1" applyBorder="1" applyAlignment="1">
      <alignment horizontal="center"/>
    </xf>
    <xf numFmtId="2" fontId="4" fillId="0" borderId="12" xfId="0" applyNumberFormat="1" applyFont="1" applyBorder="1" applyAlignment="1">
      <alignment horizontal="center" vertical="center" wrapText="1"/>
    </xf>
    <xf numFmtId="2" fontId="5" fillId="0" borderId="12" xfId="0" applyNumberFormat="1" applyFont="1" applyBorder="1" applyAlignment="1">
      <alignment horizontal="center"/>
    </xf>
    <xf numFmtId="2" fontId="6" fillId="0" borderId="12" xfId="0" applyNumberFormat="1" applyFont="1" applyBorder="1" applyAlignment="1">
      <alignment horizontal="center"/>
    </xf>
    <xf numFmtId="2" fontId="3" fillId="0" borderId="2" xfId="0" applyNumberFormat="1" applyFont="1" applyBorder="1" applyAlignment="1">
      <alignment horizontal="center" vertical="center"/>
    </xf>
    <xf numFmtId="2" fontId="3" fillId="0" borderId="12" xfId="0" applyNumberFormat="1" applyFont="1" applyBorder="1" applyAlignment="1">
      <alignment horizontal="center" vertical="center"/>
    </xf>
    <xf numFmtId="2" fontId="7" fillId="0" borderId="12" xfId="0" applyNumberFormat="1" applyFont="1" applyBorder="1" applyAlignment="1">
      <alignment horizontal="center" vertical="center" wrapText="1"/>
    </xf>
    <xf numFmtId="2" fontId="7" fillId="0" borderId="2" xfId="0" applyNumberFormat="1" applyFont="1" applyBorder="1" applyAlignment="1">
      <alignment horizontal="center" vertical="center" wrapText="1"/>
    </xf>
    <xf numFmtId="2" fontId="8" fillId="0" borderId="2" xfId="0" applyNumberFormat="1" applyFont="1" applyBorder="1" applyAlignment="1">
      <alignment horizontal="center"/>
    </xf>
    <xf numFmtId="2" fontId="9" fillId="0" borderId="12" xfId="0" applyNumberFormat="1" applyFont="1" applyBorder="1" applyAlignment="1">
      <alignment horizontal="center"/>
    </xf>
    <xf numFmtId="2" fontId="8" fillId="0" borderId="12" xfId="0" applyNumberFormat="1" applyFont="1" applyBorder="1" applyAlignment="1">
      <alignment horizontal="center"/>
    </xf>
    <xf numFmtId="2" fontId="8" fillId="0" borderId="12" xfId="0" applyNumberFormat="1" applyFont="1" applyBorder="1" applyAlignment="1">
      <alignment horizontal="center" vertical="center"/>
    </xf>
    <xf numFmtId="2" fontId="8" fillId="0" borderId="2" xfId="0" applyNumberFormat="1" applyFont="1" applyBorder="1" applyAlignment="1">
      <alignment horizontal="center" vertical="center"/>
    </xf>
    <xf numFmtId="2" fontId="8" fillId="0" borderId="10" xfId="0" applyNumberFormat="1" applyFont="1" applyBorder="1" applyAlignment="1">
      <alignment horizontal="center"/>
    </xf>
    <xf numFmtId="2" fontId="8" fillId="0" borderId="14" xfId="0" applyNumberFormat="1" applyFont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2" fontId="8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12" fillId="0" borderId="0" xfId="0" applyFont="1"/>
    <xf numFmtId="0" fontId="12" fillId="0" borderId="0" xfId="0" applyFont="1" applyAlignment="1">
      <alignment vertical="top"/>
    </xf>
    <xf numFmtId="0" fontId="1" fillId="0" borderId="0" xfId="0" applyFont="1"/>
    <xf numFmtId="164" fontId="0" fillId="0" borderId="0" xfId="0" applyNumberFormat="1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4" fillId="0" borderId="0" xfId="0" applyFont="1"/>
    <xf numFmtId="0" fontId="15" fillId="0" borderId="0" xfId="0" applyFont="1"/>
    <xf numFmtId="0" fontId="16" fillId="0" borderId="0" xfId="0" applyFont="1" applyAlignment="1">
      <alignment wrapText="1"/>
    </xf>
    <xf numFmtId="0" fontId="17" fillId="0" borderId="0" xfId="0" applyFont="1" applyAlignment="1">
      <alignment wrapText="1"/>
    </xf>
    <xf numFmtId="0" fontId="18" fillId="0" borderId="0" xfId="0" applyFont="1" applyAlignment="1">
      <alignment wrapText="1"/>
    </xf>
    <xf numFmtId="0" fontId="19" fillId="0" borderId="0" xfId="0" applyFont="1" applyAlignment="1">
      <alignment vertical="top"/>
    </xf>
    <xf numFmtId="0" fontId="0" fillId="0" borderId="0" xfId="0" applyAlignment="1">
      <alignment vertical="center"/>
    </xf>
    <xf numFmtId="0" fontId="3" fillId="0" borderId="0" xfId="0" applyFont="1"/>
    <xf numFmtId="0" fontId="12" fillId="0" borderId="0" xfId="0" applyFont="1" applyAlignment="1">
      <alignment vertical="top" wrapText="1"/>
    </xf>
    <xf numFmtId="0" fontId="1" fillId="0" borderId="0" xfId="0" applyFont="1" applyAlignment="1">
      <alignment horizontal="center" wrapText="1"/>
    </xf>
    <xf numFmtId="0" fontId="1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wrapText="1"/>
    </xf>
    <xf numFmtId="0" fontId="1" fillId="0" borderId="18" xfId="0" applyFont="1" applyBorder="1" applyAlignment="1">
      <alignment horizontal="center" wrapText="1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1" fillId="0" borderId="20" xfId="0" applyFont="1" applyBorder="1" applyAlignment="1">
      <alignment horizontal="center" wrapText="1"/>
    </xf>
    <xf numFmtId="0" fontId="1" fillId="0" borderId="19" xfId="0" applyFont="1" applyBorder="1" applyAlignment="1">
      <alignment horizontal="center" wrapText="1"/>
    </xf>
    <xf numFmtId="0" fontId="2" fillId="0" borderId="16" xfId="0" applyFont="1" applyBorder="1" applyAlignment="1">
      <alignment horizontal="center" vertical="center" wrapText="1"/>
    </xf>
  </cellXfs>
  <cellStyles count="1">
    <cellStyle name="Normal" xfId="0" builtinId="0"/>
  </cellStyles>
  <dxfs count="6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Elastisitetsmodul mot uke — alle materialer (20 °C)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PLA Tørr</c:v>
          </c:tx>
          <c:spPr>
            <a:ln w="12700" cap="rnd">
              <a:solidFill>
                <a:srgbClr val="1F4E79"/>
              </a:solidFill>
              <a:prstDash val="solid"/>
              <a:round/>
            </a:ln>
            <a:effectLst/>
          </c:spPr>
          <c:marker>
            <c:symbol val="square"/>
            <c:size val="5"/>
            <c:spPr>
              <a:solidFill>
                <a:srgbClr val="1F4E79"/>
              </a:solidFill>
              <a:ln w="9525">
                <a:solidFill>
                  <a:srgbClr val="1F4E79"/>
                </a:solidFill>
                <a:prstDash val="solid"/>
              </a:ln>
              <a:effectLst/>
            </c:spPr>
          </c:marker>
          <c:xVal>
            <c:numRef>
              <c:f>Sammenligning!$A$6:$A$10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Sammenligning!$B$6:$B$10</c:f>
              <c:numCache>
                <c:formatCode>General</c:formatCode>
                <c:ptCount val="5"/>
                <c:pt idx="0">
                  <c:v>1460</c:v>
                </c:pt>
                <c:pt idx="1">
                  <c:v>669</c:v>
                </c:pt>
                <c:pt idx="2">
                  <c:v>1100</c:v>
                </c:pt>
                <c:pt idx="3">
                  <c:v>1350</c:v>
                </c:pt>
                <c:pt idx="4">
                  <c:v>1060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75-4843-943F-907209D93B3B}"/>
            </c:ext>
          </c:extLst>
        </c:ser>
        <c:ser>
          <c:idx val="1"/>
          <c:order val="1"/>
          <c:tx>
            <c:v>PLA Våt</c:v>
          </c:tx>
          <c:spPr>
            <a:ln w="12700" cap="rnd">
              <a:solidFill>
                <a:srgbClr val="5B9BD5"/>
              </a:solidFill>
              <a:prstDash val="solid"/>
              <a:round/>
            </a:ln>
            <a:effectLst/>
          </c:spPr>
          <c:marker>
            <c:symbol val="square"/>
            <c:size val="5"/>
            <c:spPr>
              <a:solidFill>
                <a:srgbClr val="5B9BD5"/>
              </a:solidFill>
              <a:ln w="9525">
                <a:solidFill>
                  <a:srgbClr val="5B9BD5"/>
                </a:solidFill>
                <a:prstDash val="solid"/>
              </a:ln>
              <a:effectLst/>
            </c:spPr>
          </c:marker>
          <c:xVal>
            <c:numRef>
              <c:f>Sammenligning!$A$6:$A$10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Sammenligning!$C$6:$C$10</c:f>
              <c:numCache>
                <c:formatCode>General</c:formatCode>
                <c:ptCount val="5"/>
                <c:pt idx="0">
                  <c:v>1460</c:v>
                </c:pt>
                <c:pt idx="1">
                  <c:v>1130</c:v>
                </c:pt>
                <c:pt idx="2">
                  <c:v>1150</c:v>
                </c:pt>
                <c:pt idx="3">
                  <c:v>1130</c:v>
                </c:pt>
                <c:pt idx="4">
                  <c:v>1010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C75-4843-943F-907209D93B3B}"/>
            </c:ext>
          </c:extLst>
        </c:ser>
        <c:ser>
          <c:idx val="2"/>
          <c:order val="2"/>
          <c:tx>
            <c:v>PETG Tørr</c:v>
          </c:tx>
          <c:spPr>
            <a:ln w="12700" cap="rnd">
              <a:solidFill>
                <a:srgbClr val="375623"/>
              </a:solidFill>
              <a:prstDash val="solid"/>
              <a:round/>
            </a:ln>
            <a:effectLst/>
          </c:spPr>
          <c:marker>
            <c:symbol val="triangle"/>
            <c:size val="5"/>
            <c:spPr>
              <a:solidFill>
                <a:srgbClr val="375623"/>
              </a:solidFill>
              <a:ln w="9525">
                <a:solidFill>
                  <a:srgbClr val="375623"/>
                </a:solidFill>
                <a:prstDash val="solid"/>
              </a:ln>
              <a:effectLst/>
            </c:spPr>
          </c:marker>
          <c:xVal>
            <c:numRef>
              <c:f>Sammenligning!$A$6:$A$10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Sammenligning!$D$6:$D$10</c:f>
              <c:numCache>
                <c:formatCode>General</c:formatCode>
                <c:ptCount val="5"/>
                <c:pt idx="0">
                  <c:v>862</c:v>
                </c:pt>
                <c:pt idx="1">
                  <c:v>645</c:v>
                </c:pt>
                <c:pt idx="2">
                  <c:v>820</c:v>
                </c:pt>
                <c:pt idx="3">
                  <c:v>863</c:v>
                </c:pt>
                <c:pt idx="4">
                  <c:v>511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C75-4843-943F-907209D93B3B}"/>
            </c:ext>
          </c:extLst>
        </c:ser>
        <c:ser>
          <c:idx val="3"/>
          <c:order val="3"/>
          <c:tx>
            <c:v>PETG Våt</c:v>
          </c:tx>
          <c:spPr>
            <a:ln w="12700" cap="rnd">
              <a:solidFill>
                <a:srgbClr val="70AD47"/>
              </a:solidFill>
              <a:prstDash val="solid"/>
              <a:round/>
            </a:ln>
            <a:effectLst/>
          </c:spPr>
          <c:marker>
            <c:symbol val="triangle"/>
            <c:size val="5"/>
            <c:spPr>
              <a:solidFill>
                <a:srgbClr val="70AD47"/>
              </a:solidFill>
              <a:ln w="9525">
                <a:solidFill>
                  <a:srgbClr val="70AD47"/>
                </a:solidFill>
                <a:prstDash val="solid"/>
              </a:ln>
              <a:effectLst/>
            </c:spPr>
          </c:marker>
          <c:xVal>
            <c:numRef>
              <c:f>Sammenligning!$A$6:$A$10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Sammenligning!$E$6:$E$10</c:f>
              <c:numCache>
                <c:formatCode>General</c:formatCode>
                <c:ptCount val="5"/>
                <c:pt idx="0">
                  <c:v>862</c:v>
                </c:pt>
                <c:pt idx="1">
                  <c:v>771</c:v>
                </c:pt>
                <c:pt idx="2">
                  <c:v>895</c:v>
                </c:pt>
                <c:pt idx="3">
                  <c:v>827</c:v>
                </c:pt>
                <c:pt idx="4">
                  <c:v>485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C75-4843-943F-907209D93B3B}"/>
            </c:ext>
          </c:extLst>
        </c:ser>
        <c:ser>
          <c:idx val="4"/>
          <c:order val="4"/>
          <c:tx>
            <c:v>ASA Tørr</c:v>
          </c:tx>
          <c:spPr>
            <a:ln w="12700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diamond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  <a:prstDash val="solid"/>
              </a:ln>
              <a:effectLst/>
            </c:spPr>
          </c:marker>
          <c:xVal>
            <c:numRef>
              <c:f>Sammenligning!$A$6:$A$10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Sammenligning!$F$6:$F$10</c:f>
              <c:numCache>
                <c:formatCode>General</c:formatCode>
                <c:ptCount val="5"/>
                <c:pt idx="0">
                  <c:v>1030</c:v>
                </c:pt>
                <c:pt idx="1">
                  <c:v>852</c:v>
                </c:pt>
                <c:pt idx="2">
                  <c:v>935</c:v>
                </c:pt>
                <c:pt idx="3">
                  <c:v>1020</c:v>
                </c:pt>
                <c:pt idx="4">
                  <c:v>1060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C75-4843-943F-907209D93B3B}"/>
            </c:ext>
          </c:extLst>
        </c:ser>
        <c:ser>
          <c:idx val="5"/>
          <c:order val="5"/>
          <c:tx>
            <c:v>ASA Våt</c:v>
          </c:tx>
          <c:spPr>
            <a:ln w="12700" cap="rnd">
              <a:solidFill>
                <a:srgbClr val="FF6600"/>
              </a:solidFill>
              <a:prstDash val="solid"/>
              <a:round/>
            </a:ln>
            <a:effectLst/>
          </c:spPr>
          <c:marker>
            <c:symbol val="diamond"/>
            <c:size val="5"/>
            <c:spPr>
              <a:solidFill>
                <a:srgbClr val="FF6600"/>
              </a:solidFill>
              <a:ln w="9525">
                <a:solidFill>
                  <a:srgbClr val="FF6600"/>
                </a:solidFill>
                <a:prstDash val="solid"/>
              </a:ln>
              <a:effectLst/>
            </c:spPr>
          </c:marker>
          <c:xVal>
            <c:numRef>
              <c:f>Sammenligning!$A$6:$A$10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Sammenligning!$G$6:$G$10</c:f>
              <c:numCache>
                <c:formatCode>General</c:formatCode>
                <c:ptCount val="5"/>
                <c:pt idx="0">
                  <c:v>1030</c:v>
                </c:pt>
                <c:pt idx="1">
                  <c:v>846</c:v>
                </c:pt>
                <c:pt idx="2">
                  <c:v>844</c:v>
                </c:pt>
                <c:pt idx="3">
                  <c:v>931</c:v>
                </c:pt>
                <c:pt idx="4">
                  <c:v>504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C75-4843-943F-907209D93B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5501248"/>
        <c:axId val="1235499808"/>
      </c:scatterChart>
      <c:valAx>
        <c:axId val="1235501248"/>
        <c:scaling>
          <c:orientation val="minMax"/>
          <c:max val="1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Uke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/>
                  <a:ea typeface="Calibri"/>
                  <a:cs typeface="Calibri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5499808"/>
        <c:crosses val="autoZero"/>
        <c:crossBetween val="midCat"/>
        <c:majorUnit val="3"/>
      </c:valAx>
      <c:valAx>
        <c:axId val="1235499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Elastisitetsmodul [MPa]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/>
                  <a:ea typeface="Calibri"/>
                  <a:cs typeface="Calibri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5501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Elastisitetsmodul mot uke — alle materialer (40 °C)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PLA Tørr</c:v>
          </c:tx>
          <c:spPr>
            <a:ln w="12700" cap="rnd">
              <a:solidFill>
                <a:srgbClr val="1F4E79"/>
              </a:solidFill>
              <a:prstDash val="solid"/>
              <a:round/>
            </a:ln>
            <a:effectLst/>
          </c:spPr>
          <c:marker>
            <c:symbol val="square"/>
            <c:size val="5"/>
            <c:spPr>
              <a:solidFill>
                <a:srgbClr val="1F4E79"/>
              </a:solidFill>
              <a:ln w="9525">
                <a:solidFill>
                  <a:srgbClr val="1F4E79"/>
                </a:solidFill>
                <a:prstDash val="solid"/>
              </a:ln>
              <a:effectLst/>
            </c:spPr>
          </c:marker>
          <c:xVal>
            <c:numRef>
              <c:f>Sammenligning!$A$14:$A$18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Sammenligning!$B$14:$B$18</c:f>
              <c:numCache>
                <c:formatCode>General</c:formatCode>
                <c:ptCount val="5"/>
                <c:pt idx="0">
                  <c:v>1460</c:v>
                </c:pt>
                <c:pt idx="1">
                  <c:v>830</c:v>
                </c:pt>
                <c:pt idx="2">
                  <c:v>1070</c:v>
                </c:pt>
                <c:pt idx="3">
                  <c:v>1320</c:v>
                </c:pt>
                <c:pt idx="4">
                  <c:v>720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30-401D-8502-8DAEB3B8BF86}"/>
            </c:ext>
          </c:extLst>
        </c:ser>
        <c:ser>
          <c:idx val="1"/>
          <c:order val="1"/>
          <c:tx>
            <c:v>PLA Våt</c:v>
          </c:tx>
          <c:spPr>
            <a:ln w="12700" cap="rnd">
              <a:solidFill>
                <a:srgbClr val="5B9BD5"/>
              </a:solidFill>
              <a:prstDash val="solid"/>
              <a:round/>
            </a:ln>
            <a:effectLst/>
          </c:spPr>
          <c:marker>
            <c:symbol val="square"/>
            <c:size val="5"/>
            <c:spPr>
              <a:solidFill>
                <a:srgbClr val="5B9BD5"/>
              </a:solidFill>
              <a:ln w="9525">
                <a:solidFill>
                  <a:srgbClr val="5B9BD5"/>
                </a:solidFill>
                <a:prstDash val="solid"/>
              </a:ln>
              <a:effectLst/>
            </c:spPr>
          </c:marker>
          <c:xVal>
            <c:numRef>
              <c:f>Sammenligning!$A$14:$A$18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Sammenligning!$C$14:$C$18</c:f>
              <c:numCache>
                <c:formatCode>General</c:formatCode>
                <c:ptCount val="5"/>
                <c:pt idx="0">
                  <c:v>1460</c:v>
                </c:pt>
                <c:pt idx="1">
                  <c:v>710</c:v>
                </c:pt>
                <c:pt idx="2">
                  <c:v>1100</c:v>
                </c:pt>
                <c:pt idx="3">
                  <c:v>1280</c:v>
                </c:pt>
                <c:pt idx="4">
                  <c:v>862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30-401D-8502-8DAEB3B8BF86}"/>
            </c:ext>
          </c:extLst>
        </c:ser>
        <c:ser>
          <c:idx val="2"/>
          <c:order val="2"/>
          <c:tx>
            <c:v>PETG Tørr</c:v>
          </c:tx>
          <c:spPr>
            <a:ln w="12700" cap="rnd">
              <a:solidFill>
                <a:srgbClr val="375623"/>
              </a:solidFill>
              <a:prstDash val="solid"/>
              <a:round/>
            </a:ln>
            <a:effectLst/>
          </c:spPr>
          <c:marker>
            <c:symbol val="triangle"/>
            <c:size val="5"/>
            <c:spPr>
              <a:solidFill>
                <a:srgbClr val="375623"/>
              </a:solidFill>
              <a:ln w="9525">
                <a:solidFill>
                  <a:srgbClr val="375623"/>
                </a:solidFill>
                <a:prstDash val="solid"/>
              </a:ln>
              <a:effectLst/>
            </c:spPr>
          </c:marker>
          <c:xVal>
            <c:numRef>
              <c:f>Sammenligning!$A$14:$A$18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Sammenligning!$D$14:$D$18</c:f>
              <c:numCache>
                <c:formatCode>General</c:formatCode>
                <c:ptCount val="5"/>
                <c:pt idx="0">
                  <c:v>862</c:v>
                </c:pt>
                <c:pt idx="1">
                  <c:v>565</c:v>
                </c:pt>
                <c:pt idx="2">
                  <c:v>790</c:v>
                </c:pt>
                <c:pt idx="3">
                  <c:v>913</c:v>
                </c:pt>
                <c:pt idx="4">
                  <c:v>559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530-401D-8502-8DAEB3B8BF86}"/>
            </c:ext>
          </c:extLst>
        </c:ser>
        <c:ser>
          <c:idx val="3"/>
          <c:order val="3"/>
          <c:tx>
            <c:v>PETG Våt</c:v>
          </c:tx>
          <c:spPr>
            <a:ln w="12700" cap="rnd">
              <a:solidFill>
                <a:srgbClr val="70AD47"/>
              </a:solidFill>
              <a:prstDash val="solid"/>
              <a:round/>
            </a:ln>
            <a:effectLst/>
          </c:spPr>
          <c:marker>
            <c:symbol val="triangle"/>
            <c:size val="5"/>
            <c:spPr>
              <a:solidFill>
                <a:srgbClr val="70AD47"/>
              </a:solidFill>
              <a:ln w="9525">
                <a:solidFill>
                  <a:srgbClr val="70AD47"/>
                </a:solidFill>
                <a:prstDash val="solid"/>
              </a:ln>
              <a:effectLst/>
            </c:spPr>
          </c:marker>
          <c:xVal>
            <c:numRef>
              <c:f>Sammenligning!$A$14:$A$18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Sammenligning!$E$14:$E$18</c:f>
              <c:numCache>
                <c:formatCode>General</c:formatCode>
                <c:ptCount val="5"/>
                <c:pt idx="0">
                  <c:v>862</c:v>
                </c:pt>
                <c:pt idx="1">
                  <c:v>776</c:v>
                </c:pt>
                <c:pt idx="2">
                  <c:v>825</c:v>
                </c:pt>
                <c:pt idx="3">
                  <c:v>804</c:v>
                </c:pt>
                <c:pt idx="4">
                  <c:v>526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530-401D-8502-8DAEB3B8BF86}"/>
            </c:ext>
          </c:extLst>
        </c:ser>
        <c:ser>
          <c:idx val="4"/>
          <c:order val="4"/>
          <c:tx>
            <c:v>ASA Tørr</c:v>
          </c:tx>
          <c:spPr>
            <a:ln w="12700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diamond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  <a:prstDash val="solid"/>
              </a:ln>
              <a:effectLst/>
            </c:spPr>
          </c:marker>
          <c:xVal>
            <c:numRef>
              <c:f>Sammenligning!$A$14:$A$18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Sammenligning!$F$14:$F$18</c:f>
              <c:numCache>
                <c:formatCode>General</c:formatCode>
                <c:ptCount val="5"/>
                <c:pt idx="0">
                  <c:v>1030</c:v>
                </c:pt>
                <c:pt idx="1">
                  <c:v>849</c:v>
                </c:pt>
                <c:pt idx="2">
                  <c:v>895</c:v>
                </c:pt>
                <c:pt idx="3">
                  <c:v>929</c:v>
                </c:pt>
                <c:pt idx="4">
                  <c:v>760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530-401D-8502-8DAEB3B8BF86}"/>
            </c:ext>
          </c:extLst>
        </c:ser>
        <c:ser>
          <c:idx val="5"/>
          <c:order val="5"/>
          <c:tx>
            <c:v>ASA Våt</c:v>
          </c:tx>
          <c:spPr>
            <a:ln w="12700" cap="rnd">
              <a:solidFill>
                <a:srgbClr val="FF6600"/>
              </a:solidFill>
              <a:prstDash val="solid"/>
              <a:round/>
            </a:ln>
            <a:effectLst/>
          </c:spPr>
          <c:marker>
            <c:symbol val="diamond"/>
            <c:size val="5"/>
            <c:spPr>
              <a:solidFill>
                <a:srgbClr val="FF6600"/>
              </a:solidFill>
              <a:ln w="9525">
                <a:solidFill>
                  <a:srgbClr val="FF6600"/>
                </a:solidFill>
                <a:prstDash val="solid"/>
              </a:ln>
              <a:effectLst/>
            </c:spPr>
          </c:marker>
          <c:xVal>
            <c:numRef>
              <c:f>Sammenligning!$A$14:$A$18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Sammenligning!$G$14:$G$18</c:f>
              <c:numCache>
                <c:formatCode>General</c:formatCode>
                <c:ptCount val="5"/>
                <c:pt idx="0">
                  <c:v>1030</c:v>
                </c:pt>
                <c:pt idx="1">
                  <c:v>863</c:v>
                </c:pt>
                <c:pt idx="2">
                  <c:v>912</c:v>
                </c:pt>
                <c:pt idx="3">
                  <c:v>923</c:v>
                </c:pt>
                <c:pt idx="4">
                  <c:v>618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530-401D-8502-8DAEB3B8B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214255"/>
        <c:axId val="133205615"/>
      </c:scatterChart>
      <c:valAx>
        <c:axId val="133214255"/>
        <c:scaling>
          <c:orientation val="minMax"/>
          <c:max val="1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Uke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/>
                  <a:ea typeface="Calibri"/>
                  <a:cs typeface="Calibri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205615"/>
        <c:crosses val="autoZero"/>
        <c:crossBetween val="midCat"/>
        <c:majorUnit val="3"/>
      </c:valAx>
      <c:valAx>
        <c:axId val="133205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Elastisitetsmodul [MPa]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/>
                  <a:ea typeface="Calibri"/>
                  <a:cs typeface="Calibri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2142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Elastisitetsmodul mot uke — alle materialer (60 °C)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PLA Tørr</c:v>
          </c:tx>
          <c:spPr>
            <a:ln w="12700" cap="rnd">
              <a:solidFill>
                <a:srgbClr val="1F4E79"/>
              </a:solidFill>
              <a:prstDash val="solid"/>
              <a:round/>
            </a:ln>
            <a:effectLst/>
          </c:spPr>
          <c:marker>
            <c:symbol val="square"/>
            <c:size val="5"/>
            <c:spPr>
              <a:solidFill>
                <a:srgbClr val="1F4E79"/>
              </a:solidFill>
              <a:ln w="9525">
                <a:solidFill>
                  <a:srgbClr val="1F4E79"/>
                </a:solidFill>
                <a:prstDash val="solid"/>
              </a:ln>
              <a:effectLst/>
            </c:spPr>
          </c:marker>
          <c:xVal>
            <c:numRef>
              <c:f>Sammenligning!$A$22:$A$26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Sammenligning!$B$22:$B$26</c:f>
              <c:numCache>
                <c:formatCode>General</c:formatCode>
                <c:ptCount val="5"/>
                <c:pt idx="0">
                  <c:v>1460</c:v>
                </c:pt>
                <c:pt idx="1">
                  <c:v>815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F3-49FB-ACEE-BD444ACB34BA}"/>
            </c:ext>
          </c:extLst>
        </c:ser>
        <c:ser>
          <c:idx val="1"/>
          <c:order val="1"/>
          <c:tx>
            <c:v>PLA Våt</c:v>
          </c:tx>
          <c:spPr>
            <a:ln w="12700" cap="rnd">
              <a:solidFill>
                <a:srgbClr val="5B9BD5"/>
              </a:solidFill>
              <a:prstDash val="solid"/>
              <a:round/>
            </a:ln>
            <a:effectLst/>
          </c:spPr>
          <c:marker>
            <c:symbol val="square"/>
            <c:size val="5"/>
            <c:spPr>
              <a:solidFill>
                <a:srgbClr val="5B9BD5"/>
              </a:solidFill>
              <a:ln w="9525">
                <a:solidFill>
                  <a:srgbClr val="5B9BD5"/>
                </a:solidFill>
                <a:prstDash val="solid"/>
              </a:ln>
              <a:effectLst/>
            </c:spPr>
          </c:marker>
          <c:xVal>
            <c:numRef>
              <c:f>Sammenligning!$A$22:$A$26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Sammenligning!$C$22:$C$26</c:f>
              <c:numCache>
                <c:formatCode>General</c:formatCode>
                <c:ptCount val="5"/>
                <c:pt idx="0">
                  <c:v>1460</c:v>
                </c:pt>
                <c:pt idx="1">
                  <c:v>1310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7F3-49FB-ACEE-BD444ACB34BA}"/>
            </c:ext>
          </c:extLst>
        </c:ser>
        <c:ser>
          <c:idx val="2"/>
          <c:order val="2"/>
          <c:tx>
            <c:v>PETG Tørr</c:v>
          </c:tx>
          <c:spPr>
            <a:ln w="12700" cap="rnd">
              <a:solidFill>
                <a:srgbClr val="375623"/>
              </a:solidFill>
              <a:prstDash val="solid"/>
              <a:round/>
            </a:ln>
            <a:effectLst/>
          </c:spPr>
          <c:marker>
            <c:symbol val="triangle"/>
            <c:size val="5"/>
            <c:spPr>
              <a:solidFill>
                <a:srgbClr val="375623"/>
              </a:solidFill>
              <a:ln w="9525">
                <a:solidFill>
                  <a:srgbClr val="375623"/>
                </a:solidFill>
                <a:prstDash val="solid"/>
              </a:ln>
              <a:effectLst/>
            </c:spPr>
          </c:marker>
          <c:xVal>
            <c:numRef>
              <c:f>Sammenligning!$A$22:$A$26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Sammenligning!$D$22:$D$26</c:f>
              <c:numCache>
                <c:formatCode>General</c:formatCode>
                <c:ptCount val="5"/>
                <c:pt idx="0">
                  <c:v>862</c:v>
                </c:pt>
                <c:pt idx="1">
                  <c:v>665</c:v>
                </c:pt>
                <c:pt idx="2">
                  <c:v>824</c:v>
                </c:pt>
                <c:pt idx="3">
                  <c:v>830</c:v>
                </c:pt>
                <c:pt idx="4">
                  <c:v>539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7F3-49FB-ACEE-BD444ACB34BA}"/>
            </c:ext>
          </c:extLst>
        </c:ser>
        <c:ser>
          <c:idx val="3"/>
          <c:order val="3"/>
          <c:tx>
            <c:v>PETG Våt</c:v>
          </c:tx>
          <c:spPr>
            <a:ln w="12700" cap="rnd">
              <a:solidFill>
                <a:srgbClr val="70AD47"/>
              </a:solidFill>
              <a:prstDash val="solid"/>
              <a:round/>
            </a:ln>
            <a:effectLst/>
          </c:spPr>
          <c:marker>
            <c:symbol val="triangle"/>
            <c:size val="5"/>
            <c:spPr>
              <a:solidFill>
                <a:srgbClr val="70AD47"/>
              </a:solidFill>
              <a:ln w="9525">
                <a:solidFill>
                  <a:srgbClr val="70AD47"/>
                </a:solidFill>
                <a:prstDash val="solid"/>
              </a:ln>
              <a:effectLst/>
            </c:spPr>
          </c:marker>
          <c:xVal>
            <c:numRef>
              <c:f>Sammenligning!$A$22:$A$26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Sammenligning!$E$22:$E$26</c:f>
              <c:numCache>
                <c:formatCode>General</c:formatCode>
                <c:ptCount val="5"/>
                <c:pt idx="0">
                  <c:v>862</c:v>
                </c:pt>
                <c:pt idx="1">
                  <c:v>515</c:v>
                </c:pt>
                <c:pt idx="2">
                  <c:v>768</c:v>
                </c:pt>
                <c:pt idx="3">
                  <c:v>735</c:v>
                </c:pt>
                <c:pt idx="4">
                  <c:v>817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7F3-49FB-ACEE-BD444ACB34BA}"/>
            </c:ext>
          </c:extLst>
        </c:ser>
        <c:ser>
          <c:idx val="4"/>
          <c:order val="4"/>
          <c:tx>
            <c:v>ASA Tørr</c:v>
          </c:tx>
          <c:spPr>
            <a:ln w="12700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diamond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  <a:prstDash val="solid"/>
              </a:ln>
              <a:effectLst/>
            </c:spPr>
          </c:marker>
          <c:xVal>
            <c:numRef>
              <c:f>Sammenligning!$A$22:$A$26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Sammenligning!$F$22:$F$26</c:f>
              <c:numCache>
                <c:formatCode>General</c:formatCode>
                <c:ptCount val="5"/>
                <c:pt idx="0">
                  <c:v>1030</c:v>
                </c:pt>
                <c:pt idx="1">
                  <c:v>955</c:v>
                </c:pt>
                <c:pt idx="2">
                  <c:v>910</c:v>
                </c:pt>
                <c:pt idx="3">
                  <c:v>885</c:v>
                </c:pt>
                <c:pt idx="4">
                  <c:v>766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7F3-49FB-ACEE-BD444ACB34BA}"/>
            </c:ext>
          </c:extLst>
        </c:ser>
        <c:ser>
          <c:idx val="5"/>
          <c:order val="5"/>
          <c:tx>
            <c:v>ASA Våt</c:v>
          </c:tx>
          <c:spPr>
            <a:ln w="12700" cap="rnd">
              <a:solidFill>
                <a:srgbClr val="FF6600"/>
              </a:solidFill>
              <a:prstDash val="solid"/>
              <a:round/>
            </a:ln>
            <a:effectLst/>
          </c:spPr>
          <c:marker>
            <c:symbol val="diamond"/>
            <c:size val="5"/>
            <c:spPr>
              <a:solidFill>
                <a:srgbClr val="FF6600"/>
              </a:solidFill>
              <a:ln w="9525">
                <a:solidFill>
                  <a:srgbClr val="FF6600"/>
                </a:solidFill>
                <a:prstDash val="solid"/>
              </a:ln>
              <a:effectLst/>
            </c:spPr>
          </c:marker>
          <c:xVal>
            <c:numRef>
              <c:f>Sammenligning!$A$22:$A$26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Sammenligning!$G$22:$G$26</c:f>
              <c:numCache>
                <c:formatCode>General</c:formatCode>
                <c:ptCount val="5"/>
                <c:pt idx="0">
                  <c:v>1030</c:v>
                </c:pt>
                <c:pt idx="1">
                  <c:v>882</c:v>
                </c:pt>
                <c:pt idx="2">
                  <c:v>902</c:v>
                </c:pt>
                <c:pt idx="3">
                  <c:v>959</c:v>
                </c:pt>
                <c:pt idx="4">
                  <c:v>979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7F3-49FB-ACEE-BD444ACB34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940447"/>
        <c:axId val="161937087"/>
      </c:scatterChart>
      <c:valAx>
        <c:axId val="161940447"/>
        <c:scaling>
          <c:orientation val="minMax"/>
          <c:max val="1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Uke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/>
                  <a:ea typeface="Calibri"/>
                  <a:cs typeface="Calibri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937087"/>
        <c:crosses val="autoZero"/>
        <c:crossBetween val="midCat"/>
        <c:majorUnit val="3"/>
      </c:valAx>
      <c:valAx>
        <c:axId val="161937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Elastisitetsmodul [MPa]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/>
                  <a:ea typeface="Calibri"/>
                  <a:cs typeface="Calibri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9404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effectLst>
                  <a:glow rad="127000">
                    <a:schemeClr val="bg1"/>
                  </a:glo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Prosentvis endring i elastisitetsmodul (uke 0 → 12)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effectLst>
                <a:glow rad="127000">
                  <a:schemeClr val="bg1"/>
                </a:glo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482748531695928E-2"/>
          <c:y val="0.1175391414141414"/>
          <c:w val="0.9143063838254516"/>
          <c:h val="0.65936237373737372"/>
        </c:manualLayout>
      </c:layout>
      <c:barChart>
        <c:barDir val="bar"/>
        <c:grouping val="clustered"/>
        <c:varyColors val="0"/>
        <c:ser>
          <c:idx val="0"/>
          <c:order val="0"/>
          <c:tx>
            <c:v>Tørr</c:v>
          </c:tx>
          <c:spPr>
            <a:solidFill>
              <a:srgbClr val="1F4E79"/>
            </a:solidFill>
            <a:ln>
              <a:noFill/>
            </a:ln>
            <a:effectLst/>
          </c:spPr>
          <c:invertIfNegative val="0"/>
          <c:cat>
            <c:strRef>
              <c:f>Sammenligning!$A$31:$A$39</c:f>
              <c:strCache>
                <c:ptCount val="9"/>
                <c:pt idx="0">
                  <c:v>PLA 20 °C</c:v>
                </c:pt>
                <c:pt idx="1">
                  <c:v>PLA 40 °C</c:v>
                </c:pt>
                <c:pt idx="2">
                  <c:v>PLA 60 °C</c:v>
                </c:pt>
                <c:pt idx="3">
                  <c:v>PETG 20 °C</c:v>
                </c:pt>
                <c:pt idx="4">
                  <c:v>PETG 40 °C</c:v>
                </c:pt>
                <c:pt idx="5">
                  <c:v>PETG 60 °C</c:v>
                </c:pt>
                <c:pt idx="6">
                  <c:v>ASA 20 °C</c:v>
                </c:pt>
                <c:pt idx="7">
                  <c:v>ASA 40 °C</c:v>
                </c:pt>
                <c:pt idx="8">
                  <c:v>ASA 60 °C</c:v>
                </c:pt>
              </c:strCache>
            </c:strRef>
          </c:cat>
          <c:val>
            <c:numRef>
              <c:f>Sammenligning!$B$31:$B$39</c:f>
              <c:numCache>
                <c:formatCode>0.0</c:formatCode>
                <c:ptCount val="9"/>
                <c:pt idx="0">
                  <c:v>-27.4</c:v>
                </c:pt>
                <c:pt idx="1">
                  <c:v>-50.7</c:v>
                </c:pt>
                <c:pt idx="3">
                  <c:v>-40.700000000000003</c:v>
                </c:pt>
                <c:pt idx="4">
                  <c:v>-35.200000000000003</c:v>
                </c:pt>
                <c:pt idx="5">
                  <c:v>-37.5</c:v>
                </c:pt>
                <c:pt idx="6">
                  <c:v>2.9</c:v>
                </c:pt>
                <c:pt idx="7">
                  <c:v>-26.2</c:v>
                </c:pt>
                <c:pt idx="8">
                  <c:v>-25.6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64-400F-931E-B2ADDE4633EA}"/>
            </c:ext>
          </c:extLst>
        </c:ser>
        <c:ser>
          <c:idx val="1"/>
          <c:order val="1"/>
          <c:tx>
            <c:v>Våt</c:v>
          </c:tx>
          <c:spPr>
            <a:solidFill>
              <a:srgbClr val="5B9BD5"/>
            </a:solidFill>
            <a:ln>
              <a:noFill/>
            </a:ln>
            <a:effectLst/>
          </c:spPr>
          <c:invertIfNegative val="0"/>
          <c:cat>
            <c:strRef>
              <c:f>Sammenligning!$A$31:$A$39</c:f>
              <c:strCache>
                <c:ptCount val="9"/>
                <c:pt idx="0">
                  <c:v>PLA 20 °C</c:v>
                </c:pt>
                <c:pt idx="1">
                  <c:v>PLA 40 °C</c:v>
                </c:pt>
                <c:pt idx="2">
                  <c:v>PLA 60 °C</c:v>
                </c:pt>
                <c:pt idx="3">
                  <c:v>PETG 20 °C</c:v>
                </c:pt>
                <c:pt idx="4">
                  <c:v>PETG 40 °C</c:v>
                </c:pt>
                <c:pt idx="5">
                  <c:v>PETG 60 °C</c:v>
                </c:pt>
                <c:pt idx="6">
                  <c:v>ASA 20 °C</c:v>
                </c:pt>
                <c:pt idx="7">
                  <c:v>ASA 40 °C</c:v>
                </c:pt>
                <c:pt idx="8">
                  <c:v>ASA 60 °C</c:v>
                </c:pt>
              </c:strCache>
            </c:strRef>
          </c:cat>
          <c:val>
            <c:numRef>
              <c:f>Sammenligning!$C$31:$C$39</c:f>
              <c:numCache>
                <c:formatCode>0.0</c:formatCode>
                <c:ptCount val="9"/>
                <c:pt idx="0">
                  <c:v>-30.8</c:v>
                </c:pt>
                <c:pt idx="1">
                  <c:v>-41</c:v>
                </c:pt>
                <c:pt idx="3">
                  <c:v>-43.7</c:v>
                </c:pt>
                <c:pt idx="4">
                  <c:v>-39</c:v>
                </c:pt>
                <c:pt idx="5">
                  <c:v>-5.2</c:v>
                </c:pt>
                <c:pt idx="6">
                  <c:v>-51.1</c:v>
                </c:pt>
                <c:pt idx="7">
                  <c:v>-40</c:v>
                </c:pt>
                <c:pt idx="8">
                  <c:v>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64-400F-931E-B2ADDE4633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5818255"/>
        <c:axId val="185815855"/>
      </c:barChart>
      <c:catAx>
        <c:axId val="1858182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effectLst>
                  <a:glow rad="101600">
                    <a:schemeClr val="bg1">
                      <a:alpha val="80000"/>
                    </a:schemeClr>
                  </a:glo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815855"/>
        <c:crosses val="autoZero"/>
        <c:auto val="1"/>
        <c:lblAlgn val="ctr"/>
        <c:lblOffset val="100"/>
        <c:noMultiLvlLbl val="0"/>
      </c:catAx>
      <c:valAx>
        <c:axId val="185815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effectLst>
                      <a:glow rad="127000">
                        <a:schemeClr val="bg1"/>
                      </a:glow>
                    </a:effectLst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Endring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effectLst>
                    <a:glow rad="127000">
                      <a:schemeClr val="bg1"/>
                    </a:glo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effectLst>
                  <a:glow rad="127000">
                    <a:schemeClr val="bg1"/>
                  </a:glo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818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effectLst>
                <a:glow rad="127000">
                  <a:schemeClr val="bg1"/>
                </a:glo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effectLst>
            <a:glow rad="127000">
              <a:schemeClr val="bg1"/>
            </a:glo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Prosentvis endring i strekkfasthet (uke 0 → 12)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Tørr</c:v>
          </c:tx>
          <c:spPr>
            <a:solidFill>
              <a:srgbClr val="1F4E79"/>
            </a:solidFill>
            <a:ln>
              <a:noFill/>
            </a:ln>
            <a:effectLst/>
          </c:spPr>
          <c:invertIfNegative val="0"/>
          <c:cat>
            <c:strRef>
              <c:f>Sammenligning!$A$43:$A$51</c:f>
              <c:strCache>
                <c:ptCount val="9"/>
                <c:pt idx="0">
                  <c:v>PLA 20 °C</c:v>
                </c:pt>
                <c:pt idx="1">
                  <c:v>PLA 40 °C</c:v>
                </c:pt>
                <c:pt idx="2">
                  <c:v>PLA 60 °C</c:v>
                </c:pt>
                <c:pt idx="3">
                  <c:v>PETG 20 °C</c:v>
                </c:pt>
                <c:pt idx="4">
                  <c:v>PETG 40 °C</c:v>
                </c:pt>
                <c:pt idx="5">
                  <c:v>PETG 60 °C</c:v>
                </c:pt>
                <c:pt idx="6">
                  <c:v>ASA 20 °C</c:v>
                </c:pt>
                <c:pt idx="7">
                  <c:v>ASA 40 °C</c:v>
                </c:pt>
                <c:pt idx="8">
                  <c:v>ASA 60 °C</c:v>
                </c:pt>
              </c:strCache>
            </c:strRef>
          </c:cat>
          <c:val>
            <c:numRef>
              <c:f>Sammenligning!$B$43:$B$51</c:f>
              <c:numCache>
                <c:formatCode>0.0</c:formatCode>
                <c:ptCount val="9"/>
                <c:pt idx="0">
                  <c:v>-16.2</c:v>
                </c:pt>
                <c:pt idx="1">
                  <c:v>-20.6</c:v>
                </c:pt>
                <c:pt idx="3">
                  <c:v>-11.2</c:v>
                </c:pt>
                <c:pt idx="4">
                  <c:v>-5.8</c:v>
                </c:pt>
                <c:pt idx="5">
                  <c:v>-5.6</c:v>
                </c:pt>
                <c:pt idx="6">
                  <c:v>-6.8</c:v>
                </c:pt>
                <c:pt idx="7">
                  <c:v>-18.5</c:v>
                </c:pt>
                <c:pt idx="8">
                  <c:v>-13.8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E9-48B5-9514-789A6DDE4D97}"/>
            </c:ext>
          </c:extLst>
        </c:ser>
        <c:ser>
          <c:idx val="1"/>
          <c:order val="1"/>
          <c:tx>
            <c:v>Våt</c:v>
          </c:tx>
          <c:spPr>
            <a:solidFill>
              <a:srgbClr val="5B9BD5"/>
            </a:solidFill>
            <a:ln>
              <a:noFill/>
            </a:ln>
            <a:effectLst/>
          </c:spPr>
          <c:invertIfNegative val="0"/>
          <c:cat>
            <c:strRef>
              <c:f>Sammenligning!$A$43:$A$51</c:f>
              <c:strCache>
                <c:ptCount val="9"/>
                <c:pt idx="0">
                  <c:v>PLA 20 °C</c:v>
                </c:pt>
                <c:pt idx="1">
                  <c:v>PLA 40 °C</c:v>
                </c:pt>
                <c:pt idx="2">
                  <c:v>PLA 60 °C</c:v>
                </c:pt>
                <c:pt idx="3">
                  <c:v>PETG 20 °C</c:v>
                </c:pt>
                <c:pt idx="4">
                  <c:v>PETG 40 °C</c:v>
                </c:pt>
                <c:pt idx="5">
                  <c:v>PETG 60 °C</c:v>
                </c:pt>
                <c:pt idx="6">
                  <c:v>ASA 20 °C</c:v>
                </c:pt>
                <c:pt idx="7">
                  <c:v>ASA 40 °C</c:v>
                </c:pt>
                <c:pt idx="8">
                  <c:v>ASA 60 °C</c:v>
                </c:pt>
              </c:strCache>
            </c:strRef>
          </c:cat>
          <c:val>
            <c:numRef>
              <c:f>Sammenligning!$C$43:$C$51</c:f>
              <c:numCache>
                <c:formatCode>0.0</c:formatCode>
                <c:ptCount val="9"/>
                <c:pt idx="0">
                  <c:v>-33.9</c:v>
                </c:pt>
                <c:pt idx="1">
                  <c:v>-32.299999999999997</c:v>
                </c:pt>
                <c:pt idx="3">
                  <c:v>-13.3</c:v>
                </c:pt>
                <c:pt idx="4">
                  <c:v>-2.6</c:v>
                </c:pt>
                <c:pt idx="5">
                  <c:v>12.3</c:v>
                </c:pt>
                <c:pt idx="6">
                  <c:v>-38.4</c:v>
                </c:pt>
                <c:pt idx="7">
                  <c:v>-32.6</c:v>
                </c:pt>
                <c:pt idx="8">
                  <c:v>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E9-48B5-9514-789A6DDE4D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2980271"/>
        <c:axId val="92986511"/>
      </c:barChart>
      <c:catAx>
        <c:axId val="929802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 w="9525">
                  <a:noFill/>
                </a:ln>
                <a:solidFill>
                  <a:schemeClr val="tx1"/>
                </a:solidFill>
                <a:effectLst>
                  <a:glow rad="101600">
                    <a:schemeClr val="bg1">
                      <a:alpha val="80000"/>
                    </a:schemeClr>
                  </a:glow>
                </a:effectLst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986511"/>
        <c:crosses val="autoZero"/>
        <c:auto val="1"/>
        <c:lblAlgn val="ctr"/>
        <c:lblOffset val="100"/>
        <c:noMultiLvlLbl val="0"/>
      </c:catAx>
      <c:valAx>
        <c:axId val="92986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Endring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/>
                  <a:ea typeface="Calibri"/>
                  <a:cs typeface="Calibri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980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Elastisitetsmodul mot uke (PLA 20–40–60 °C)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Tørr 60 °C</c:v>
          </c:tx>
          <c:spPr>
            <a:ln w="12700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diamond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  <a:prstDash val="solid"/>
              </a:ln>
              <a:effectLst/>
            </c:spPr>
          </c:marker>
          <c:xVal>
            <c:numRef>
              <c:f>PLA!$B$53:$B$57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PLA!$O$53:$O$57</c:f>
              <c:numCache>
                <c:formatCode>0.00</c:formatCode>
                <c:ptCount val="5"/>
                <c:pt idx="0">
                  <c:v>1460</c:v>
                </c:pt>
                <c:pt idx="1">
                  <c:v>815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16E-4DC2-9AAF-70C4B5AFE1EF}"/>
            </c:ext>
          </c:extLst>
        </c:ser>
        <c:ser>
          <c:idx val="1"/>
          <c:order val="1"/>
          <c:tx>
            <c:v>Våt 60 °C</c:v>
          </c:tx>
          <c:spPr>
            <a:ln w="12700" cap="rnd">
              <a:solidFill>
                <a:srgbClr val="FF4040"/>
              </a:solidFill>
              <a:prstDash val="solid"/>
              <a:round/>
            </a:ln>
            <a:effectLst/>
          </c:spPr>
          <c:marker>
            <c:symbol val="diamond"/>
            <c:size val="5"/>
            <c:spPr>
              <a:solidFill>
                <a:srgbClr val="FF4040"/>
              </a:solidFill>
              <a:ln w="9525">
                <a:solidFill>
                  <a:srgbClr val="FF4040"/>
                </a:solidFill>
                <a:prstDash val="solid"/>
              </a:ln>
              <a:effectLst/>
            </c:spPr>
          </c:marker>
          <c:xVal>
            <c:numRef>
              <c:f>PLA!$B$53:$B$57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PLA!$C$53:$C$57</c:f>
              <c:numCache>
                <c:formatCode>0.00</c:formatCode>
                <c:ptCount val="5"/>
                <c:pt idx="0">
                  <c:v>1460</c:v>
                </c:pt>
                <c:pt idx="1">
                  <c:v>1310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16E-4DC2-9AAF-70C4B5AFE1EF}"/>
            </c:ext>
          </c:extLst>
        </c:ser>
        <c:ser>
          <c:idx val="2"/>
          <c:order val="2"/>
          <c:tx>
            <c:v>Tørr 40 °C</c:v>
          </c:tx>
          <c:spPr>
            <a:ln w="12700" cap="rnd">
              <a:solidFill>
                <a:srgbClr val="375623"/>
              </a:solidFill>
              <a:prstDash val="solid"/>
              <a:round/>
            </a:ln>
            <a:effectLst/>
          </c:spPr>
          <c:marker>
            <c:symbol val="triangle"/>
            <c:size val="5"/>
            <c:spPr>
              <a:solidFill>
                <a:srgbClr val="375623"/>
              </a:solidFill>
              <a:ln w="9525">
                <a:solidFill>
                  <a:srgbClr val="375623"/>
                </a:solidFill>
                <a:prstDash val="solid"/>
              </a:ln>
              <a:effectLst/>
            </c:spPr>
          </c:marker>
          <c:xVal>
            <c:numRef>
              <c:f>PLA!$B$29:$B$33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PLA!$O$29:$O$33</c:f>
              <c:numCache>
                <c:formatCode>0.00</c:formatCode>
                <c:ptCount val="5"/>
                <c:pt idx="0">
                  <c:v>1460</c:v>
                </c:pt>
                <c:pt idx="1">
                  <c:v>830</c:v>
                </c:pt>
                <c:pt idx="2">
                  <c:v>1070</c:v>
                </c:pt>
                <c:pt idx="3">
                  <c:v>1320</c:v>
                </c:pt>
                <c:pt idx="4">
                  <c:v>720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16E-4DC2-9AAF-70C4B5AFE1EF}"/>
            </c:ext>
          </c:extLst>
        </c:ser>
        <c:ser>
          <c:idx val="3"/>
          <c:order val="3"/>
          <c:tx>
            <c:v>Våt 40 °C</c:v>
          </c:tx>
          <c:spPr>
            <a:ln w="12700" cap="rnd">
              <a:solidFill>
                <a:srgbClr val="70AD47"/>
              </a:solidFill>
              <a:prstDash val="solid"/>
              <a:round/>
            </a:ln>
            <a:effectLst/>
          </c:spPr>
          <c:marker>
            <c:symbol val="triangle"/>
            <c:size val="5"/>
            <c:spPr>
              <a:solidFill>
                <a:srgbClr val="70AD47"/>
              </a:solidFill>
              <a:ln w="9525">
                <a:solidFill>
                  <a:srgbClr val="70AD47"/>
                </a:solidFill>
                <a:prstDash val="solid"/>
              </a:ln>
              <a:effectLst/>
            </c:spPr>
          </c:marker>
          <c:xVal>
            <c:numRef>
              <c:f>PLA!$B$29:$B$33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PLA!$C$29:$C$33</c:f>
              <c:numCache>
                <c:formatCode>0.00</c:formatCode>
                <c:ptCount val="5"/>
                <c:pt idx="0">
                  <c:v>1460</c:v>
                </c:pt>
                <c:pt idx="1">
                  <c:v>710</c:v>
                </c:pt>
                <c:pt idx="2">
                  <c:v>1100</c:v>
                </c:pt>
                <c:pt idx="3">
                  <c:v>1280</c:v>
                </c:pt>
                <c:pt idx="4">
                  <c:v>862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16E-4DC2-9AAF-70C4B5AFE1EF}"/>
            </c:ext>
          </c:extLst>
        </c:ser>
        <c:ser>
          <c:idx val="4"/>
          <c:order val="4"/>
          <c:tx>
            <c:v>Tørr 20 °C</c:v>
          </c:tx>
          <c:spPr>
            <a:ln w="12700" cap="rnd">
              <a:solidFill>
                <a:srgbClr val="1F4E79"/>
              </a:solidFill>
              <a:prstDash val="solid"/>
              <a:round/>
            </a:ln>
            <a:effectLst/>
          </c:spPr>
          <c:marker>
            <c:symbol val="square"/>
            <c:size val="5"/>
            <c:spPr>
              <a:solidFill>
                <a:srgbClr val="1F4E79"/>
              </a:solidFill>
              <a:ln w="9525">
                <a:solidFill>
                  <a:srgbClr val="1F4E79"/>
                </a:solidFill>
                <a:prstDash val="solid"/>
              </a:ln>
              <a:effectLst/>
            </c:spPr>
          </c:marker>
          <c:xVal>
            <c:numRef>
              <c:f>PLA!$B$5:$B$9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PLA!$O$5:$O$9</c:f>
              <c:numCache>
                <c:formatCode>0.00</c:formatCode>
                <c:ptCount val="5"/>
                <c:pt idx="0">
                  <c:v>1460</c:v>
                </c:pt>
                <c:pt idx="1">
                  <c:v>669</c:v>
                </c:pt>
                <c:pt idx="2">
                  <c:v>1100</c:v>
                </c:pt>
                <c:pt idx="3">
                  <c:v>1350</c:v>
                </c:pt>
                <c:pt idx="4">
                  <c:v>1060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16E-4DC2-9AAF-70C4B5AFE1EF}"/>
            </c:ext>
          </c:extLst>
        </c:ser>
        <c:ser>
          <c:idx val="5"/>
          <c:order val="5"/>
          <c:tx>
            <c:v>Våt 20 °C</c:v>
          </c:tx>
          <c:spPr>
            <a:ln w="12700" cap="rnd">
              <a:solidFill>
                <a:srgbClr val="5B9BD5"/>
              </a:solidFill>
              <a:prstDash val="solid"/>
              <a:round/>
            </a:ln>
            <a:effectLst/>
          </c:spPr>
          <c:marker>
            <c:symbol val="square"/>
            <c:size val="5"/>
            <c:spPr>
              <a:solidFill>
                <a:srgbClr val="5B9BD5"/>
              </a:solidFill>
              <a:ln w="9525">
                <a:solidFill>
                  <a:srgbClr val="5B9BD5"/>
                </a:solidFill>
                <a:prstDash val="solid"/>
              </a:ln>
              <a:effectLst/>
            </c:spPr>
          </c:marker>
          <c:xVal>
            <c:numRef>
              <c:f>PLA!$B$5:$B$9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PLA!$C$5:$C$9</c:f>
              <c:numCache>
                <c:formatCode>0.00</c:formatCode>
                <c:ptCount val="5"/>
                <c:pt idx="0">
                  <c:v>1460</c:v>
                </c:pt>
                <c:pt idx="1">
                  <c:v>1130</c:v>
                </c:pt>
                <c:pt idx="2">
                  <c:v>1150</c:v>
                </c:pt>
                <c:pt idx="3">
                  <c:v>1130</c:v>
                </c:pt>
                <c:pt idx="4">
                  <c:v>1010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16E-4DC2-9AAF-70C4B5AFE1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973919"/>
        <c:axId val="190974399"/>
      </c:scatterChart>
      <c:valAx>
        <c:axId val="190973919"/>
        <c:scaling>
          <c:orientation val="minMax"/>
          <c:max val="1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Uke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974399"/>
        <c:crosses val="autoZero"/>
        <c:crossBetween val="midCat"/>
        <c:majorUnit val="3"/>
      </c:valAx>
      <c:valAx>
        <c:axId val="190974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Elastisitetsmodul [MPa]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9739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Elastisitetsmodul mot uke (PETG 20–40–60 °C)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Tørr 60 °C</c:v>
          </c:tx>
          <c:spPr>
            <a:ln w="12700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diamond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  <a:prstDash val="solid"/>
              </a:ln>
              <a:effectLst/>
            </c:spPr>
          </c:marker>
          <c:xVal>
            <c:numRef>
              <c:f>PETG!$A$52:$A$56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PETG!$N$52:$N$56</c:f>
              <c:numCache>
                <c:formatCode>0.00</c:formatCode>
                <c:ptCount val="5"/>
                <c:pt idx="0">
                  <c:v>862</c:v>
                </c:pt>
                <c:pt idx="1">
                  <c:v>665</c:v>
                </c:pt>
                <c:pt idx="2">
                  <c:v>824</c:v>
                </c:pt>
                <c:pt idx="3">
                  <c:v>830</c:v>
                </c:pt>
                <c:pt idx="4">
                  <c:v>539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041-4A95-A9B4-FB8380723E12}"/>
            </c:ext>
          </c:extLst>
        </c:ser>
        <c:ser>
          <c:idx val="1"/>
          <c:order val="1"/>
          <c:tx>
            <c:v>Våt 60 °C</c:v>
          </c:tx>
          <c:spPr>
            <a:ln w="12700" cap="rnd">
              <a:solidFill>
                <a:srgbClr val="FF4040"/>
              </a:solidFill>
              <a:prstDash val="solid"/>
              <a:round/>
            </a:ln>
            <a:effectLst/>
          </c:spPr>
          <c:marker>
            <c:symbol val="diamond"/>
            <c:size val="5"/>
            <c:spPr>
              <a:solidFill>
                <a:srgbClr val="FF4040"/>
              </a:solidFill>
              <a:ln w="9525">
                <a:solidFill>
                  <a:srgbClr val="FF4040"/>
                </a:solidFill>
                <a:prstDash val="solid"/>
              </a:ln>
              <a:effectLst/>
            </c:spPr>
          </c:marker>
          <c:xVal>
            <c:numRef>
              <c:f>PETG!$A$52:$A$56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PETG!$B$52:$B$56</c:f>
              <c:numCache>
                <c:formatCode>0.00</c:formatCode>
                <c:ptCount val="5"/>
                <c:pt idx="0">
                  <c:v>862</c:v>
                </c:pt>
                <c:pt idx="1">
                  <c:v>515</c:v>
                </c:pt>
                <c:pt idx="2">
                  <c:v>768</c:v>
                </c:pt>
                <c:pt idx="3">
                  <c:v>735</c:v>
                </c:pt>
                <c:pt idx="4">
                  <c:v>817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041-4A95-A9B4-FB8380723E12}"/>
            </c:ext>
          </c:extLst>
        </c:ser>
        <c:ser>
          <c:idx val="2"/>
          <c:order val="2"/>
          <c:tx>
            <c:v>Tørr 40 °C</c:v>
          </c:tx>
          <c:spPr>
            <a:ln w="12700" cap="rnd">
              <a:solidFill>
                <a:srgbClr val="375623"/>
              </a:solidFill>
              <a:prstDash val="solid"/>
              <a:round/>
            </a:ln>
            <a:effectLst/>
          </c:spPr>
          <c:marker>
            <c:symbol val="triangle"/>
            <c:size val="5"/>
            <c:spPr>
              <a:solidFill>
                <a:srgbClr val="375623"/>
              </a:solidFill>
              <a:ln w="9525">
                <a:solidFill>
                  <a:srgbClr val="375623"/>
                </a:solidFill>
                <a:prstDash val="solid"/>
              </a:ln>
              <a:effectLst/>
            </c:spPr>
          </c:marker>
          <c:xVal>
            <c:numRef>
              <c:f>PETG!$A$28:$A$32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PETG!$N$28:$N$32</c:f>
              <c:numCache>
                <c:formatCode>0.00</c:formatCode>
                <c:ptCount val="5"/>
                <c:pt idx="0">
                  <c:v>862</c:v>
                </c:pt>
                <c:pt idx="1">
                  <c:v>565</c:v>
                </c:pt>
                <c:pt idx="2">
                  <c:v>790</c:v>
                </c:pt>
                <c:pt idx="3">
                  <c:v>913</c:v>
                </c:pt>
                <c:pt idx="4">
                  <c:v>559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041-4A95-A9B4-FB8380723E12}"/>
            </c:ext>
          </c:extLst>
        </c:ser>
        <c:ser>
          <c:idx val="3"/>
          <c:order val="3"/>
          <c:tx>
            <c:v>Våt 40 °C</c:v>
          </c:tx>
          <c:spPr>
            <a:ln w="12700" cap="rnd">
              <a:solidFill>
                <a:srgbClr val="70AD47"/>
              </a:solidFill>
              <a:prstDash val="solid"/>
              <a:round/>
            </a:ln>
            <a:effectLst/>
          </c:spPr>
          <c:marker>
            <c:symbol val="triangle"/>
            <c:size val="5"/>
            <c:spPr>
              <a:solidFill>
                <a:srgbClr val="70AD47"/>
              </a:solidFill>
              <a:ln w="9525">
                <a:solidFill>
                  <a:srgbClr val="70AD47"/>
                </a:solidFill>
                <a:prstDash val="solid"/>
              </a:ln>
              <a:effectLst/>
            </c:spPr>
          </c:marker>
          <c:xVal>
            <c:numRef>
              <c:f>PETG!$A$28:$A$32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PETG!$B$28:$B$32</c:f>
              <c:numCache>
                <c:formatCode>0.00</c:formatCode>
                <c:ptCount val="5"/>
                <c:pt idx="0">
                  <c:v>862</c:v>
                </c:pt>
                <c:pt idx="1">
                  <c:v>776</c:v>
                </c:pt>
                <c:pt idx="2">
                  <c:v>825</c:v>
                </c:pt>
                <c:pt idx="3">
                  <c:v>804</c:v>
                </c:pt>
                <c:pt idx="4">
                  <c:v>526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041-4A95-A9B4-FB8380723E12}"/>
            </c:ext>
          </c:extLst>
        </c:ser>
        <c:ser>
          <c:idx val="4"/>
          <c:order val="4"/>
          <c:tx>
            <c:v>Tørr 20 °C</c:v>
          </c:tx>
          <c:spPr>
            <a:ln w="12700" cap="rnd">
              <a:solidFill>
                <a:srgbClr val="1F4E79"/>
              </a:solidFill>
              <a:prstDash val="solid"/>
              <a:round/>
            </a:ln>
            <a:effectLst/>
          </c:spPr>
          <c:marker>
            <c:symbol val="square"/>
            <c:size val="5"/>
            <c:spPr>
              <a:solidFill>
                <a:srgbClr val="1F4E79"/>
              </a:solidFill>
              <a:ln w="9525">
                <a:solidFill>
                  <a:srgbClr val="1F4E79"/>
                </a:solidFill>
                <a:prstDash val="solid"/>
              </a:ln>
              <a:effectLst/>
            </c:spPr>
          </c:marker>
          <c:xVal>
            <c:numRef>
              <c:f>PETG!$A$4:$A$8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PETG!$N$4:$N$8</c:f>
              <c:numCache>
                <c:formatCode>0.00</c:formatCode>
                <c:ptCount val="5"/>
                <c:pt idx="0">
                  <c:v>862</c:v>
                </c:pt>
                <c:pt idx="1">
                  <c:v>645</c:v>
                </c:pt>
                <c:pt idx="2">
                  <c:v>820</c:v>
                </c:pt>
                <c:pt idx="3">
                  <c:v>863</c:v>
                </c:pt>
                <c:pt idx="4">
                  <c:v>511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041-4A95-A9B4-FB8380723E12}"/>
            </c:ext>
          </c:extLst>
        </c:ser>
        <c:ser>
          <c:idx val="5"/>
          <c:order val="5"/>
          <c:tx>
            <c:v>Våt 20 °C</c:v>
          </c:tx>
          <c:spPr>
            <a:ln w="12700" cap="rnd">
              <a:solidFill>
                <a:srgbClr val="5B9BD5"/>
              </a:solidFill>
              <a:prstDash val="solid"/>
              <a:round/>
            </a:ln>
            <a:effectLst/>
          </c:spPr>
          <c:marker>
            <c:symbol val="square"/>
            <c:size val="5"/>
            <c:spPr>
              <a:solidFill>
                <a:srgbClr val="5B9BD5"/>
              </a:solidFill>
              <a:ln w="9525">
                <a:solidFill>
                  <a:srgbClr val="5B9BD5"/>
                </a:solidFill>
                <a:prstDash val="solid"/>
              </a:ln>
              <a:effectLst/>
            </c:spPr>
          </c:marker>
          <c:xVal>
            <c:numRef>
              <c:f>PETG!$A$4:$A$8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PETG!$B$4:$B$8</c:f>
              <c:numCache>
                <c:formatCode>0.00</c:formatCode>
                <c:ptCount val="5"/>
                <c:pt idx="0">
                  <c:v>862</c:v>
                </c:pt>
                <c:pt idx="1">
                  <c:v>771</c:v>
                </c:pt>
                <c:pt idx="2">
                  <c:v>895</c:v>
                </c:pt>
                <c:pt idx="3">
                  <c:v>827</c:v>
                </c:pt>
                <c:pt idx="4">
                  <c:v>485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041-4A95-A9B4-FB8380723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5401279"/>
        <c:axId val="355384959"/>
      </c:scatterChart>
      <c:valAx>
        <c:axId val="355401279"/>
        <c:scaling>
          <c:orientation val="minMax"/>
          <c:max val="1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Uke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384959"/>
        <c:crosses val="autoZero"/>
        <c:crossBetween val="midCat"/>
        <c:majorUnit val="3"/>
      </c:valAx>
      <c:valAx>
        <c:axId val="355384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Elastisitetsmodul [MPa]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4012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Elastisitetsmodul mot uke (ASA 20–40–60 °C)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Tørr 60 °C</c:v>
          </c:tx>
          <c:spPr>
            <a:ln w="12700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diamond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  <a:prstDash val="solid"/>
              </a:ln>
              <a:effectLst/>
            </c:spPr>
          </c:marker>
          <c:xVal>
            <c:numRef>
              <c:f>ASA!$A$52:$A$56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ASA!$N$52:$N$56</c:f>
              <c:numCache>
                <c:formatCode>0.00</c:formatCode>
                <c:ptCount val="5"/>
                <c:pt idx="0">
                  <c:v>1030</c:v>
                </c:pt>
                <c:pt idx="1">
                  <c:v>955</c:v>
                </c:pt>
                <c:pt idx="2">
                  <c:v>910</c:v>
                </c:pt>
                <c:pt idx="3">
                  <c:v>885</c:v>
                </c:pt>
                <c:pt idx="4">
                  <c:v>766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972-4DAD-BAB0-9213E769447B}"/>
            </c:ext>
          </c:extLst>
        </c:ser>
        <c:ser>
          <c:idx val="1"/>
          <c:order val="1"/>
          <c:tx>
            <c:v>Våt 60 °C</c:v>
          </c:tx>
          <c:spPr>
            <a:ln w="12700" cap="rnd">
              <a:solidFill>
                <a:srgbClr val="FF4040"/>
              </a:solidFill>
              <a:prstDash val="solid"/>
              <a:round/>
            </a:ln>
            <a:effectLst/>
          </c:spPr>
          <c:marker>
            <c:symbol val="diamond"/>
            <c:size val="5"/>
            <c:spPr>
              <a:solidFill>
                <a:srgbClr val="FF4040"/>
              </a:solidFill>
              <a:ln w="9525">
                <a:solidFill>
                  <a:srgbClr val="FF4040"/>
                </a:solidFill>
                <a:prstDash val="solid"/>
              </a:ln>
              <a:effectLst/>
            </c:spPr>
          </c:marker>
          <c:xVal>
            <c:numRef>
              <c:f>ASA!$A$52:$A$56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ASA!$B$52:$B$56</c:f>
              <c:numCache>
                <c:formatCode>0.00</c:formatCode>
                <c:ptCount val="5"/>
                <c:pt idx="0">
                  <c:v>1030</c:v>
                </c:pt>
                <c:pt idx="1">
                  <c:v>882</c:v>
                </c:pt>
                <c:pt idx="2">
                  <c:v>902</c:v>
                </c:pt>
                <c:pt idx="3">
                  <c:v>959</c:v>
                </c:pt>
                <c:pt idx="4">
                  <c:v>979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972-4DAD-BAB0-9213E769447B}"/>
            </c:ext>
          </c:extLst>
        </c:ser>
        <c:ser>
          <c:idx val="2"/>
          <c:order val="2"/>
          <c:tx>
            <c:v>Tørr 40 °C</c:v>
          </c:tx>
          <c:spPr>
            <a:ln w="12700" cap="rnd">
              <a:solidFill>
                <a:srgbClr val="375623"/>
              </a:solidFill>
              <a:prstDash val="solid"/>
              <a:round/>
            </a:ln>
            <a:effectLst/>
          </c:spPr>
          <c:marker>
            <c:symbol val="triangle"/>
            <c:size val="5"/>
            <c:spPr>
              <a:solidFill>
                <a:srgbClr val="375623"/>
              </a:solidFill>
              <a:ln w="9525">
                <a:solidFill>
                  <a:srgbClr val="375623"/>
                </a:solidFill>
                <a:prstDash val="solid"/>
              </a:ln>
              <a:effectLst/>
            </c:spPr>
          </c:marker>
          <c:xVal>
            <c:numRef>
              <c:f>ASA!$A$28:$A$32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ASA!$N$28:$N$32</c:f>
              <c:numCache>
                <c:formatCode>0.00</c:formatCode>
                <c:ptCount val="5"/>
                <c:pt idx="0">
                  <c:v>1030</c:v>
                </c:pt>
                <c:pt idx="1">
                  <c:v>849</c:v>
                </c:pt>
                <c:pt idx="2">
                  <c:v>895</c:v>
                </c:pt>
                <c:pt idx="3">
                  <c:v>929</c:v>
                </c:pt>
                <c:pt idx="4">
                  <c:v>760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972-4DAD-BAB0-9213E769447B}"/>
            </c:ext>
          </c:extLst>
        </c:ser>
        <c:ser>
          <c:idx val="3"/>
          <c:order val="3"/>
          <c:tx>
            <c:v>Våt 40 °C</c:v>
          </c:tx>
          <c:spPr>
            <a:ln w="12700" cap="rnd">
              <a:solidFill>
                <a:srgbClr val="70AD47"/>
              </a:solidFill>
              <a:prstDash val="solid"/>
              <a:round/>
            </a:ln>
            <a:effectLst/>
          </c:spPr>
          <c:marker>
            <c:symbol val="triangle"/>
            <c:size val="5"/>
            <c:spPr>
              <a:solidFill>
                <a:srgbClr val="70AD47"/>
              </a:solidFill>
              <a:ln w="9525">
                <a:solidFill>
                  <a:srgbClr val="70AD47"/>
                </a:solidFill>
                <a:prstDash val="solid"/>
              </a:ln>
              <a:effectLst/>
            </c:spPr>
          </c:marker>
          <c:xVal>
            <c:numRef>
              <c:f>ASA!$A$28:$A$32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ASA!$B$28:$B$32</c:f>
              <c:numCache>
                <c:formatCode>0.00</c:formatCode>
                <c:ptCount val="5"/>
                <c:pt idx="0">
                  <c:v>1030</c:v>
                </c:pt>
                <c:pt idx="1">
                  <c:v>863</c:v>
                </c:pt>
                <c:pt idx="2">
                  <c:v>912</c:v>
                </c:pt>
                <c:pt idx="3">
                  <c:v>923</c:v>
                </c:pt>
                <c:pt idx="4">
                  <c:v>618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972-4DAD-BAB0-9213E769447B}"/>
            </c:ext>
          </c:extLst>
        </c:ser>
        <c:ser>
          <c:idx val="4"/>
          <c:order val="4"/>
          <c:tx>
            <c:v>Tørr 20 °C</c:v>
          </c:tx>
          <c:spPr>
            <a:ln w="12700" cap="rnd">
              <a:solidFill>
                <a:srgbClr val="1F4E79"/>
              </a:solidFill>
              <a:prstDash val="solid"/>
              <a:round/>
            </a:ln>
            <a:effectLst/>
          </c:spPr>
          <c:marker>
            <c:symbol val="square"/>
            <c:size val="5"/>
            <c:spPr>
              <a:solidFill>
                <a:srgbClr val="1F4E79"/>
              </a:solidFill>
              <a:ln w="9525">
                <a:solidFill>
                  <a:srgbClr val="1F4E79"/>
                </a:solidFill>
                <a:prstDash val="solid"/>
              </a:ln>
              <a:effectLst/>
            </c:spPr>
          </c:marker>
          <c:xVal>
            <c:numRef>
              <c:f>ASA!$A$4:$A$8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ASA!$N$4:$N$8</c:f>
              <c:numCache>
                <c:formatCode>0.00</c:formatCode>
                <c:ptCount val="5"/>
                <c:pt idx="0">
                  <c:v>1030</c:v>
                </c:pt>
                <c:pt idx="1">
                  <c:v>852</c:v>
                </c:pt>
                <c:pt idx="2">
                  <c:v>935</c:v>
                </c:pt>
                <c:pt idx="3">
                  <c:v>1020</c:v>
                </c:pt>
                <c:pt idx="4">
                  <c:v>1060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972-4DAD-BAB0-9213E769447B}"/>
            </c:ext>
          </c:extLst>
        </c:ser>
        <c:ser>
          <c:idx val="5"/>
          <c:order val="5"/>
          <c:tx>
            <c:v>Våt 20 °C</c:v>
          </c:tx>
          <c:spPr>
            <a:ln w="12700" cap="rnd">
              <a:solidFill>
                <a:srgbClr val="5B9BD5"/>
              </a:solidFill>
              <a:prstDash val="solid"/>
              <a:round/>
            </a:ln>
            <a:effectLst/>
          </c:spPr>
          <c:marker>
            <c:symbol val="square"/>
            <c:size val="5"/>
            <c:spPr>
              <a:solidFill>
                <a:srgbClr val="5B9BD5"/>
              </a:solidFill>
              <a:ln w="9525">
                <a:solidFill>
                  <a:srgbClr val="5B9BD5"/>
                </a:solidFill>
                <a:prstDash val="solid"/>
              </a:ln>
              <a:effectLst/>
            </c:spPr>
          </c:marker>
          <c:xVal>
            <c:numRef>
              <c:f>ASA!$A$4:$A$8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ASA!$B$4:$B$8</c:f>
              <c:numCache>
                <c:formatCode>0.00</c:formatCode>
                <c:ptCount val="5"/>
                <c:pt idx="0">
                  <c:v>1030</c:v>
                </c:pt>
                <c:pt idx="1">
                  <c:v>846</c:v>
                </c:pt>
                <c:pt idx="2">
                  <c:v>844</c:v>
                </c:pt>
                <c:pt idx="3">
                  <c:v>931</c:v>
                </c:pt>
                <c:pt idx="4">
                  <c:v>504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972-4DAD-BAB0-9213E76944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030207"/>
        <c:axId val="142030687"/>
      </c:scatterChart>
      <c:valAx>
        <c:axId val="142030207"/>
        <c:scaling>
          <c:orientation val="minMax"/>
          <c:max val="1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Uke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30687"/>
        <c:crosses val="autoZero"/>
        <c:crossBetween val="midCat"/>
        <c:majorUnit val="3"/>
      </c:valAx>
      <c:valAx>
        <c:axId val="142030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Elastisitetsmodul [MPa]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302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Elastisitetsmodul mot uke (PLA 60 °C)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Tørr</c:v>
          </c:tx>
          <c:spPr>
            <a:ln w="12700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diamond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  <a:prstDash val="solid"/>
              </a:ln>
              <a:effectLst/>
            </c:spPr>
          </c:marker>
          <c:xVal>
            <c:numRef>
              <c:f>PLA!$B$53:$B$57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PLA!$O$53:$O$57</c:f>
              <c:numCache>
                <c:formatCode>0.00</c:formatCode>
                <c:ptCount val="5"/>
                <c:pt idx="0">
                  <c:v>1460</c:v>
                </c:pt>
                <c:pt idx="1">
                  <c:v>815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3D1-4E81-981E-313383E83EDC}"/>
            </c:ext>
          </c:extLst>
        </c:ser>
        <c:ser>
          <c:idx val="1"/>
          <c:order val="1"/>
          <c:tx>
            <c:v>Våt</c:v>
          </c:tx>
          <c:spPr>
            <a:ln w="12700" cap="rnd">
              <a:solidFill>
                <a:srgbClr val="FF4040"/>
              </a:solidFill>
              <a:prstDash val="solid"/>
              <a:round/>
            </a:ln>
            <a:effectLst/>
          </c:spPr>
          <c:marker>
            <c:symbol val="diamond"/>
            <c:size val="5"/>
            <c:spPr>
              <a:solidFill>
                <a:srgbClr val="FF4040"/>
              </a:solidFill>
              <a:ln w="9525">
                <a:solidFill>
                  <a:srgbClr val="FF4040"/>
                </a:solidFill>
                <a:prstDash val="solid"/>
              </a:ln>
              <a:effectLst/>
            </c:spPr>
          </c:marker>
          <c:xVal>
            <c:numRef>
              <c:f>PLA!$B$53:$B$57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PLA!$C$53:$C$57</c:f>
              <c:numCache>
                <c:formatCode>0.00</c:formatCode>
                <c:ptCount val="5"/>
                <c:pt idx="0">
                  <c:v>1460</c:v>
                </c:pt>
                <c:pt idx="1">
                  <c:v>1310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3D1-4E81-981E-313383E83E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600751"/>
        <c:axId val="52596911"/>
      </c:scatterChart>
      <c:valAx>
        <c:axId val="52600751"/>
        <c:scaling>
          <c:orientation val="minMax"/>
          <c:max val="1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Uke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96911"/>
        <c:crosses val="autoZero"/>
        <c:crossBetween val="midCat"/>
        <c:majorUnit val="3"/>
      </c:valAx>
      <c:valAx>
        <c:axId val="52596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Elastisitetsmodul [MPa]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007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Elastisitetsmodul mot uke (ASA 20 °C)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Tørr</c:v>
          </c:tx>
          <c:spPr>
            <a:ln w="12700" cap="rnd">
              <a:solidFill>
                <a:srgbClr val="1F4E79"/>
              </a:solidFill>
              <a:prstDash val="solid"/>
              <a:round/>
            </a:ln>
            <a:effectLst/>
          </c:spPr>
          <c:marker>
            <c:symbol val="square"/>
            <c:size val="5"/>
            <c:spPr>
              <a:solidFill>
                <a:srgbClr val="1F4E79"/>
              </a:solidFill>
              <a:ln w="9525">
                <a:solidFill>
                  <a:srgbClr val="1F4E79"/>
                </a:solidFill>
                <a:prstDash val="solid"/>
              </a:ln>
              <a:effectLst/>
            </c:spPr>
          </c:marker>
          <c:xVal>
            <c:numRef>
              <c:f>ASA!$A$4:$A$8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ASA!$N$4:$N$8</c:f>
              <c:numCache>
                <c:formatCode>0.00</c:formatCode>
                <c:ptCount val="5"/>
                <c:pt idx="0">
                  <c:v>1030</c:v>
                </c:pt>
                <c:pt idx="1">
                  <c:v>852</c:v>
                </c:pt>
                <c:pt idx="2">
                  <c:v>935</c:v>
                </c:pt>
                <c:pt idx="3">
                  <c:v>1020</c:v>
                </c:pt>
                <c:pt idx="4">
                  <c:v>1060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65E-4B68-B8DD-0EA6522BE648}"/>
            </c:ext>
          </c:extLst>
        </c:ser>
        <c:ser>
          <c:idx val="1"/>
          <c:order val="1"/>
          <c:tx>
            <c:v>Våt</c:v>
          </c:tx>
          <c:spPr>
            <a:ln w="12700" cap="rnd">
              <a:solidFill>
                <a:srgbClr val="5B9BD5"/>
              </a:solidFill>
              <a:prstDash val="solid"/>
              <a:round/>
            </a:ln>
            <a:effectLst/>
          </c:spPr>
          <c:marker>
            <c:symbol val="square"/>
            <c:size val="5"/>
            <c:spPr>
              <a:solidFill>
                <a:srgbClr val="5B9BD5"/>
              </a:solidFill>
              <a:ln w="9525">
                <a:solidFill>
                  <a:srgbClr val="5B9BD5"/>
                </a:solidFill>
                <a:prstDash val="solid"/>
              </a:ln>
              <a:effectLst/>
            </c:spPr>
          </c:marker>
          <c:xVal>
            <c:numRef>
              <c:f>ASA!$A$4:$A$8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ASA!$B$4:$B$8</c:f>
              <c:numCache>
                <c:formatCode>0.00</c:formatCode>
                <c:ptCount val="5"/>
                <c:pt idx="0">
                  <c:v>1030</c:v>
                </c:pt>
                <c:pt idx="1">
                  <c:v>846</c:v>
                </c:pt>
                <c:pt idx="2">
                  <c:v>844</c:v>
                </c:pt>
                <c:pt idx="3">
                  <c:v>931</c:v>
                </c:pt>
                <c:pt idx="4">
                  <c:v>504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65E-4B68-B8DD-0EA6522BE6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616591"/>
        <c:axId val="52617071"/>
      </c:scatterChart>
      <c:valAx>
        <c:axId val="52616591"/>
        <c:scaling>
          <c:orientation val="minMax"/>
          <c:max val="1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Uke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17071"/>
        <c:crosses val="autoZero"/>
        <c:crossBetween val="midCat"/>
        <c:majorUnit val="3"/>
      </c:valAx>
      <c:valAx>
        <c:axId val="52617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Elastisitetsmodul [MPa]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165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Strekkfasthet mot uke (PETG 60 °C)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Tørr</c:v>
          </c:tx>
          <c:spPr>
            <a:ln w="12700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diamond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  <a:prstDash val="solid"/>
              </a:ln>
              <a:effectLst/>
            </c:spPr>
          </c:marker>
          <c:xVal>
            <c:numRef>
              <c:f>PETG!$A$52:$A$56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PETG!$T$52:$T$56</c:f>
              <c:numCache>
                <c:formatCode>0.00</c:formatCode>
                <c:ptCount val="5"/>
                <c:pt idx="0">
                  <c:v>43</c:v>
                </c:pt>
                <c:pt idx="1">
                  <c:v>48.5</c:v>
                </c:pt>
                <c:pt idx="2">
                  <c:v>49.8</c:v>
                </c:pt>
                <c:pt idx="3">
                  <c:v>46.9</c:v>
                </c:pt>
                <c:pt idx="4">
                  <c:v>40.6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A3D-474E-B82B-825FE97B5FDA}"/>
            </c:ext>
          </c:extLst>
        </c:ser>
        <c:ser>
          <c:idx val="1"/>
          <c:order val="1"/>
          <c:tx>
            <c:v>Våt</c:v>
          </c:tx>
          <c:spPr>
            <a:ln w="12700" cap="rnd">
              <a:solidFill>
                <a:srgbClr val="FF4040"/>
              </a:solidFill>
              <a:prstDash val="solid"/>
              <a:round/>
            </a:ln>
            <a:effectLst/>
          </c:spPr>
          <c:marker>
            <c:symbol val="diamond"/>
            <c:size val="5"/>
            <c:spPr>
              <a:solidFill>
                <a:srgbClr val="FF4040"/>
              </a:solidFill>
              <a:ln w="9525">
                <a:solidFill>
                  <a:srgbClr val="FF4040"/>
                </a:solidFill>
                <a:prstDash val="solid"/>
              </a:ln>
              <a:effectLst/>
            </c:spPr>
          </c:marker>
          <c:xVal>
            <c:numRef>
              <c:f>PETG!$A$52:$A$56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PETG!$H$52:$H$56</c:f>
              <c:numCache>
                <c:formatCode>0.00</c:formatCode>
                <c:ptCount val="5"/>
                <c:pt idx="0">
                  <c:v>43</c:v>
                </c:pt>
                <c:pt idx="1">
                  <c:v>45.6</c:v>
                </c:pt>
                <c:pt idx="2">
                  <c:v>43.4</c:v>
                </c:pt>
                <c:pt idx="3">
                  <c:v>49.1</c:v>
                </c:pt>
                <c:pt idx="4">
                  <c:v>48.3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A3D-474E-B82B-825FE97B5F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640591"/>
        <c:axId val="52641071"/>
      </c:scatterChart>
      <c:valAx>
        <c:axId val="52640591"/>
        <c:scaling>
          <c:orientation val="minMax"/>
          <c:max val="1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Uke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41071"/>
        <c:crosses val="autoZero"/>
        <c:crossBetween val="midCat"/>
        <c:majorUnit val="3"/>
      </c:valAx>
      <c:valAx>
        <c:axId val="52641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Strekkfasthet [MPa]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405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Elastisitetsmodul mot uke (PLA 20 °C)</a:t>
            </a:r>
          </a:p>
        </c:rich>
      </c:tx>
      <c:layout>
        <c:manualLayout>
          <c:xMode val="edge"/>
          <c:yMode val="edge"/>
          <c:x val="0.30171110455573458"/>
          <c:y val="4.05092592592592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Tørr</c:v>
          </c:tx>
          <c:spPr>
            <a:ln w="12700" cap="rnd">
              <a:solidFill>
                <a:srgbClr val="1F4E79"/>
              </a:solidFill>
              <a:prstDash val="solid"/>
              <a:round/>
            </a:ln>
            <a:effectLst/>
          </c:spPr>
          <c:marker>
            <c:symbol val="square"/>
            <c:size val="5"/>
            <c:spPr>
              <a:solidFill>
                <a:srgbClr val="1F4E79"/>
              </a:solidFill>
              <a:ln w="9525">
                <a:solidFill>
                  <a:srgbClr val="1F4E79"/>
                </a:solidFill>
                <a:prstDash val="solid"/>
              </a:ln>
              <a:effectLst/>
            </c:spPr>
          </c:marker>
          <c:xVal>
            <c:numRef>
              <c:f>PLA!$B$5:$B$9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PLA!$O$5:$O$9</c:f>
              <c:numCache>
                <c:formatCode>0.00</c:formatCode>
                <c:ptCount val="5"/>
                <c:pt idx="0">
                  <c:v>1460</c:v>
                </c:pt>
                <c:pt idx="1">
                  <c:v>669</c:v>
                </c:pt>
                <c:pt idx="2">
                  <c:v>1100</c:v>
                </c:pt>
                <c:pt idx="3">
                  <c:v>1350</c:v>
                </c:pt>
                <c:pt idx="4">
                  <c:v>1060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2F-4640-92CD-88380B1AFA1E}"/>
            </c:ext>
          </c:extLst>
        </c:ser>
        <c:ser>
          <c:idx val="1"/>
          <c:order val="1"/>
          <c:tx>
            <c:v>Våt</c:v>
          </c:tx>
          <c:spPr>
            <a:ln w="12700" cap="rnd">
              <a:solidFill>
                <a:srgbClr val="5B9BD5"/>
              </a:solidFill>
              <a:prstDash val="lgDash"/>
              <a:round/>
            </a:ln>
            <a:effectLst/>
          </c:spPr>
          <c:marker>
            <c:symbol val="square"/>
            <c:size val="5"/>
            <c:spPr>
              <a:solidFill>
                <a:srgbClr val="5B9BD5"/>
              </a:solidFill>
              <a:ln w="9525">
                <a:solidFill>
                  <a:srgbClr val="5B9BD5"/>
                </a:solidFill>
                <a:prstDash val="solid"/>
              </a:ln>
              <a:effectLst/>
            </c:spPr>
          </c:marker>
          <c:xVal>
            <c:numRef>
              <c:f>PLA!$B$5:$B$9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PLA!$C$5:$C$9</c:f>
              <c:numCache>
                <c:formatCode>0.00</c:formatCode>
                <c:ptCount val="5"/>
                <c:pt idx="0">
                  <c:v>1460</c:v>
                </c:pt>
                <c:pt idx="1">
                  <c:v>1130</c:v>
                </c:pt>
                <c:pt idx="2">
                  <c:v>1150</c:v>
                </c:pt>
                <c:pt idx="3">
                  <c:v>1130</c:v>
                </c:pt>
                <c:pt idx="4">
                  <c:v>1010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F2F-4640-92CD-88380B1AFA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0350527"/>
        <c:axId val="1870351007"/>
      </c:scatterChart>
      <c:valAx>
        <c:axId val="1870350527"/>
        <c:scaling>
          <c:orientation val="minMax"/>
          <c:max val="1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Uke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351007"/>
        <c:crosses val="autoZero"/>
        <c:crossBetween val="midCat"/>
        <c:majorUnit val="3"/>
      </c:valAx>
      <c:valAx>
        <c:axId val="1870351007"/>
        <c:scaling>
          <c:orientation val="minMax"/>
          <c:max val="16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Elastisitetsmodul [MPa]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3505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Flytespenning mot uke (PLA 20 °C)</a:t>
            </a:r>
          </a:p>
        </c:rich>
      </c:tx>
      <c:layout>
        <c:manualLayout>
          <c:xMode val="edge"/>
          <c:yMode val="edge"/>
          <c:x val="0.29844139818118409"/>
          <c:y val="3.7036902226552877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Tørr</c:v>
          </c:tx>
          <c:spPr>
            <a:ln w="12700">
              <a:solidFill>
                <a:srgbClr val="1F4E79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1F4E79"/>
              </a:solidFill>
              <a:ln>
                <a:solidFill>
                  <a:srgbClr val="1F4E79"/>
                </a:solidFill>
                <a:prstDash val="solid"/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PLA!$T$5:$T$9</c:f>
                <c:numCache>
                  <c:formatCode>General</c:formatCode>
                  <c:ptCount val="5"/>
                  <c:pt idx="0">
                    <c:v>0.99</c:v>
                  </c:pt>
                  <c:pt idx="1">
                    <c:v>1.1200000000000001</c:v>
                  </c:pt>
                  <c:pt idx="2">
                    <c:v>2.74</c:v>
                  </c:pt>
                  <c:pt idx="3">
                    <c:v>0.66</c:v>
                  </c:pt>
                  <c:pt idx="4">
                    <c:v>3.15</c:v>
                  </c:pt>
                </c:numCache>
              </c:numRef>
            </c:plus>
            <c:minus>
              <c:numRef>
                <c:f>PLA!$T$5:$T$9</c:f>
                <c:numCache>
                  <c:formatCode>General</c:formatCode>
                  <c:ptCount val="5"/>
                  <c:pt idx="0">
                    <c:v>0.99</c:v>
                  </c:pt>
                  <c:pt idx="1">
                    <c:v>1.1200000000000001</c:v>
                  </c:pt>
                  <c:pt idx="2">
                    <c:v>2.74</c:v>
                  </c:pt>
                  <c:pt idx="3">
                    <c:v>0.66</c:v>
                  </c:pt>
                  <c:pt idx="4">
                    <c:v>3.15</c:v>
                  </c:pt>
                </c:numCache>
              </c:numRef>
            </c:minus>
          </c:errBars>
          <c:xVal>
            <c:numRef>
              <c:f>PLA!$B$5:$B$9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PLA!$R$5:$R$9</c:f>
              <c:numCache>
                <c:formatCode>0.00</c:formatCode>
                <c:ptCount val="5"/>
                <c:pt idx="0">
                  <c:v>15</c:v>
                </c:pt>
                <c:pt idx="1">
                  <c:v>17.2</c:v>
                </c:pt>
                <c:pt idx="2">
                  <c:v>14.5</c:v>
                </c:pt>
                <c:pt idx="3">
                  <c:v>17.600000000000001</c:v>
                </c:pt>
                <c:pt idx="4">
                  <c:v>12.1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AD4-4223-BC3C-4802FBA1AD61}"/>
            </c:ext>
          </c:extLst>
        </c:ser>
        <c:ser>
          <c:idx val="1"/>
          <c:order val="1"/>
          <c:tx>
            <c:v>Våt</c:v>
          </c:tx>
          <c:spPr>
            <a:ln w="12700">
              <a:solidFill>
                <a:srgbClr val="5B9BD5"/>
              </a:solidFill>
              <a:prstDash val="lgDash"/>
            </a:ln>
          </c:spPr>
          <c:marker>
            <c:symbol val="square"/>
            <c:size val="5"/>
            <c:spPr>
              <a:solidFill>
                <a:srgbClr val="5B9BD5"/>
              </a:solidFill>
              <a:ln>
                <a:solidFill>
                  <a:srgbClr val="5B9BD5"/>
                </a:solidFill>
                <a:prstDash val="solid"/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PLA!$H$5:$H$9</c:f>
                <c:numCache>
                  <c:formatCode>General</c:formatCode>
                  <c:ptCount val="5"/>
                  <c:pt idx="0">
                    <c:v>0.99</c:v>
                  </c:pt>
                  <c:pt idx="1">
                    <c:v>0.79</c:v>
                  </c:pt>
                  <c:pt idx="2">
                    <c:v>0.73</c:v>
                  </c:pt>
                  <c:pt idx="3">
                    <c:v>1.0900000000000001</c:v>
                  </c:pt>
                  <c:pt idx="4">
                    <c:v>0.51</c:v>
                  </c:pt>
                </c:numCache>
              </c:numRef>
            </c:plus>
            <c:minus>
              <c:numRef>
                <c:f>PLA!$H$5:$H$9</c:f>
                <c:numCache>
                  <c:formatCode>General</c:formatCode>
                  <c:ptCount val="5"/>
                  <c:pt idx="0">
                    <c:v>0.99</c:v>
                  </c:pt>
                  <c:pt idx="1">
                    <c:v>0.79</c:v>
                  </c:pt>
                  <c:pt idx="2">
                    <c:v>0.73</c:v>
                  </c:pt>
                  <c:pt idx="3">
                    <c:v>1.0900000000000001</c:v>
                  </c:pt>
                  <c:pt idx="4">
                    <c:v>0.51</c:v>
                  </c:pt>
                </c:numCache>
              </c:numRef>
            </c:minus>
          </c:errBars>
          <c:xVal>
            <c:numRef>
              <c:f>PLA!$B$5:$B$9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PLA!$F$5:$F$9</c:f>
              <c:numCache>
                <c:formatCode>0.00</c:formatCode>
                <c:ptCount val="5"/>
                <c:pt idx="0">
                  <c:v>15</c:v>
                </c:pt>
                <c:pt idx="1">
                  <c:v>16.399999999999999</c:v>
                </c:pt>
                <c:pt idx="2">
                  <c:v>11.6</c:v>
                </c:pt>
                <c:pt idx="3">
                  <c:v>17.5</c:v>
                </c:pt>
                <c:pt idx="4">
                  <c:v>5.3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AD4-4223-BC3C-4802FBA1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0350527"/>
        <c:axId val="1870351007"/>
      </c:scatterChart>
      <c:valAx>
        <c:axId val="1870350527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100" b="1"/>
                </a:pPr>
                <a:r>
                  <a:rPr lang="en-US"/>
                  <a:t>Uke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351007"/>
        <c:crosses val="autoZero"/>
        <c:crossBetween val="midCat"/>
        <c:majorUnit val="3"/>
      </c:valAx>
      <c:valAx>
        <c:axId val="1870351007"/>
        <c:scaling>
          <c:orientation val="minMax"/>
          <c:max val="4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100" b="1"/>
                </a:pPr>
                <a:r>
                  <a:rPr lang="en-US"/>
                  <a:t>Flytegrense (0,2%) [MPa]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350527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ln w="6350">
      <a:solidFill>
        <a:schemeClr val="tx1">
          <a:tint val="75000"/>
        </a:schemeClr>
      </a:solidFill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Strekkfasthet mot uke (PLA 20 °C)</a:t>
            </a:r>
          </a:p>
        </c:rich>
      </c:tx>
      <c:layout>
        <c:manualLayout>
          <c:xMode val="edge"/>
          <c:yMode val="edge"/>
          <c:x val="0.23478491114536609"/>
          <c:y val="3.70371866871828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Tørr</c:v>
          </c:tx>
          <c:spPr>
            <a:ln w="12700" cap="rnd">
              <a:solidFill>
                <a:srgbClr val="1F4E79"/>
              </a:solidFill>
              <a:prstDash val="solid"/>
              <a:round/>
            </a:ln>
            <a:effectLst/>
          </c:spPr>
          <c:marker>
            <c:symbol val="square"/>
            <c:size val="5"/>
            <c:spPr>
              <a:solidFill>
                <a:srgbClr val="1F4E79"/>
              </a:solidFill>
              <a:ln w="9525">
                <a:solidFill>
                  <a:srgbClr val="1F4E79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PLA!$W$5:$W$9</c:f>
                <c:numCache>
                  <c:formatCode>General</c:formatCode>
                  <c:ptCount val="5"/>
                  <c:pt idx="0">
                    <c:v>1.075</c:v>
                  </c:pt>
                  <c:pt idx="1">
                    <c:v>1.33</c:v>
                  </c:pt>
                  <c:pt idx="2">
                    <c:v>3.2050000000000001</c:v>
                  </c:pt>
                  <c:pt idx="3">
                    <c:v>0.89500000000000002</c:v>
                  </c:pt>
                  <c:pt idx="4">
                    <c:v>2.4750000000000001</c:v>
                  </c:pt>
                </c:numCache>
              </c:numRef>
            </c:plus>
            <c:minus>
              <c:numRef>
                <c:f>PLA!$W$5:$W$9</c:f>
                <c:numCache>
                  <c:formatCode>General</c:formatCode>
                  <c:ptCount val="5"/>
                  <c:pt idx="0">
                    <c:v>1.075</c:v>
                  </c:pt>
                  <c:pt idx="1">
                    <c:v>1.33</c:v>
                  </c:pt>
                  <c:pt idx="2">
                    <c:v>3.2050000000000001</c:v>
                  </c:pt>
                  <c:pt idx="3">
                    <c:v>0.89500000000000002</c:v>
                  </c:pt>
                  <c:pt idx="4">
                    <c:v>2.4750000000000001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PLA!$B$5:$B$9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PLA!$U$5:$U$9</c:f>
              <c:numCache>
                <c:formatCode>0.00</c:formatCode>
                <c:ptCount val="5"/>
                <c:pt idx="0">
                  <c:v>49.5</c:v>
                </c:pt>
                <c:pt idx="1">
                  <c:v>50.9</c:v>
                </c:pt>
                <c:pt idx="2">
                  <c:v>49.1</c:v>
                </c:pt>
                <c:pt idx="3">
                  <c:v>49.3</c:v>
                </c:pt>
                <c:pt idx="4">
                  <c:v>41.5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80-4F5E-B61F-4F86AFDB97C3}"/>
            </c:ext>
          </c:extLst>
        </c:ser>
        <c:ser>
          <c:idx val="1"/>
          <c:order val="1"/>
          <c:tx>
            <c:v>Våt</c:v>
          </c:tx>
          <c:spPr>
            <a:ln w="12700" cap="rnd">
              <a:solidFill>
                <a:srgbClr val="5B9BD5"/>
              </a:solidFill>
              <a:prstDash val="lgDash"/>
              <a:round/>
            </a:ln>
            <a:effectLst/>
          </c:spPr>
          <c:marker>
            <c:symbol val="square"/>
            <c:size val="5"/>
            <c:spPr>
              <a:solidFill>
                <a:srgbClr val="5B9BD5"/>
              </a:solidFill>
              <a:ln w="9525">
                <a:solidFill>
                  <a:srgbClr val="5B9BD5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PLA!$K$5:$K$9</c:f>
                <c:numCache>
                  <c:formatCode>General</c:formatCode>
                  <c:ptCount val="5"/>
                  <c:pt idx="0">
                    <c:v>1.075</c:v>
                  </c:pt>
                  <c:pt idx="1">
                    <c:v>0.77500000000000002</c:v>
                  </c:pt>
                  <c:pt idx="2">
                    <c:v>0.71</c:v>
                  </c:pt>
                  <c:pt idx="3">
                    <c:v>0.35</c:v>
                  </c:pt>
                  <c:pt idx="4">
                    <c:v>1.095</c:v>
                  </c:pt>
                </c:numCache>
              </c:numRef>
            </c:plus>
            <c:minus>
              <c:numRef>
                <c:f>PLA!$K$5:$K$9</c:f>
                <c:numCache>
                  <c:formatCode>General</c:formatCode>
                  <c:ptCount val="5"/>
                  <c:pt idx="0">
                    <c:v>1.075</c:v>
                  </c:pt>
                  <c:pt idx="1">
                    <c:v>0.77500000000000002</c:v>
                  </c:pt>
                  <c:pt idx="2">
                    <c:v>0.71</c:v>
                  </c:pt>
                  <c:pt idx="3">
                    <c:v>0.35</c:v>
                  </c:pt>
                  <c:pt idx="4">
                    <c:v>1.095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PLA!$B$5:$B$9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PLA!$I$5:$I$9</c:f>
              <c:numCache>
                <c:formatCode>0.00</c:formatCode>
                <c:ptCount val="5"/>
                <c:pt idx="0">
                  <c:v>49.5</c:v>
                </c:pt>
                <c:pt idx="1">
                  <c:v>46.9</c:v>
                </c:pt>
                <c:pt idx="2">
                  <c:v>42.6</c:v>
                </c:pt>
                <c:pt idx="3">
                  <c:v>49.7</c:v>
                </c:pt>
                <c:pt idx="4">
                  <c:v>32.700000000000003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F80-4F5E-B61F-4F86AFDB97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0350527"/>
        <c:axId val="1870351007"/>
      </c:scatterChart>
      <c:valAx>
        <c:axId val="1870350527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Uke</a:t>
                </a:r>
              </a:p>
            </c:rich>
          </c:tx>
          <c:overlay val="0"/>
          <c:spPr>
            <a:noFill/>
            <a:ln w="6350"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351007"/>
        <c:crosses val="autoZero"/>
        <c:crossBetween val="midCat"/>
        <c:majorUnit val="3"/>
      </c:valAx>
      <c:valAx>
        <c:axId val="1870351007"/>
        <c:scaling>
          <c:orientation val="minMax"/>
          <c:max val="6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Strekkfasthet [MPa]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350527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Tøyning mot uke (PLA 20 °C)</a:t>
            </a:r>
          </a:p>
        </c:rich>
      </c:tx>
      <c:layout>
        <c:manualLayout>
          <c:xMode val="edge"/>
          <c:yMode val="edge"/>
          <c:x val="0.23478491114536609"/>
          <c:y val="3.70371866871828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Tørr</c:v>
          </c:tx>
          <c:spPr>
            <a:ln w="12700" cap="rnd">
              <a:solidFill>
                <a:srgbClr val="1F4E79"/>
              </a:solidFill>
              <a:prstDash val="solid"/>
              <a:round/>
            </a:ln>
            <a:effectLst/>
          </c:spPr>
          <c:marker>
            <c:symbol val="square"/>
            <c:size val="5"/>
            <c:spPr>
              <a:solidFill>
                <a:srgbClr val="1F4E79"/>
              </a:solidFill>
              <a:ln w="9525">
                <a:solidFill>
                  <a:srgbClr val="1F4E79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PLA!$Z$5:$Z$9</c:f>
                <c:numCache>
                  <c:formatCode>General</c:formatCode>
                  <c:ptCount val="5"/>
                  <c:pt idx="0">
                    <c:v>1.81</c:v>
                  </c:pt>
                  <c:pt idx="1">
                    <c:v>4.0250000000000004</c:v>
                  </c:pt>
                  <c:pt idx="2">
                    <c:v>2.395</c:v>
                  </c:pt>
                  <c:pt idx="3">
                    <c:v>3.92</c:v>
                  </c:pt>
                  <c:pt idx="4">
                    <c:v>2.71</c:v>
                  </c:pt>
                </c:numCache>
              </c:numRef>
            </c:plus>
            <c:minus>
              <c:numRef>
                <c:f>PLA!$Z$5:$Z$9</c:f>
                <c:numCache>
                  <c:formatCode>General</c:formatCode>
                  <c:ptCount val="5"/>
                  <c:pt idx="0">
                    <c:v>1.81</c:v>
                  </c:pt>
                  <c:pt idx="1">
                    <c:v>4.0250000000000004</c:v>
                  </c:pt>
                  <c:pt idx="2">
                    <c:v>2.395</c:v>
                  </c:pt>
                  <c:pt idx="3">
                    <c:v>3.92</c:v>
                  </c:pt>
                  <c:pt idx="4">
                    <c:v>2.71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PLA!$B$5:$B$9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PLA!$X$5:$X$9</c:f>
              <c:numCache>
                <c:formatCode>0.00</c:formatCode>
                <c:ptCount val="5"/>
                <c:pt idx="0">
                  <c:v>12.3</c:v>
                </c:pt>
                <c:pt idx="1">
                  <c:v>15</c:v>
                </c:pt>
                <c:pt idx="2">
                  <c:v>14.9</c:v>
                </c:pt>
                <c:pt idx="3">
                  <c:v>33.1</c:v>
                </c:pt>
                <c:pt idx="4">
                  <c:v>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3D-4320-B32C-D7BB78029E04}"/>
            </c:ext>
          </c:extLst>
        </c:ser>
        <c:ser>
          <c:idx val="1"/>
          <c:order val="1"/>
          <c:tx>
            <c:v>Våt</c:v>
          </c:tx>
          <c:spPr>
            <a:ln w="12700" cap="rnd">
              <a:solidFill>
                <a:srgbClr val="5B9BD5"/>
              </a:solidFill>
              <a:prstDash val="lgDash"/>
              <a:round/>
            </a:ln>
            <a:effectLst/>
          </c:spPr>
          <c:marker>
            <c:symbol val="square"/>
            <c:size val="5"/>
            <c:spPr>
              <a:solidFill>
                <a:srgbClr val="5B9BD5"/>
              </a:solidFill>
              <a:ln w="19050">
                <a:solidFill>
                  <a:srgbClr val="5B9BD5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PLA!$N$5:$N$9</c:f>
                <c:numCache>
                  <c:formatCode>General</c:formatCode>
                  <c:ptCount val="5"/>
                  <c:pt idx="0">
                    <c:v>1.81</c:v>
                  </c:pt>
                  <c:pt idx="1">
                    <c:v>2.6549999999999998</c:v>
                  </c:pt>
                  <c:pt idx="2">
                    <c:v>10.25</c:v>
                  </c:pt>
                  <c:pt idx="3">
                    <c:v>5.3</c:v>
                  </c:pt>
                  <c:pt idx="4">
                    <c:v>7.25</c:v>
                  </c:pt>
                </c:numCache>
              </c:numRef>
            </c:plus>
            <c:minus>
              <c:numRef>
                <c:f>PLA!$N$5:$N$9</c:f>
                <c:numCache>
                  <c:formatCode>General</c:formatCode>
                  <c:ptCount val="5"/>
                  <c:pt idx="0">
                    <c:v>1.81</c:v>
                  </c:pt>
                  <c:pt idx="1">
                    <c:v>2.6549999999999998</c:v>
                  </c:pt>
                  <c:pt idx="2">
                    <c:v>10.25</c:v>
                  </c:pt>
                  <c:pt idx="3">
                    <c:v>5.3</c:v>
                  </c:pt>
                  <c:pt idx="4">
                    <c:v>7.25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PLA!$B$5:$B$9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PLA!$L$5:$L$9</c:f>
              <c:numCache>
                <c:formatCode>0.00</c:formatCode>
                <c:ptCount val="5"/>
                <c:pt idx="0">
                  <c:v>12.3</c:v>
                </c:pt>
                <c:pt idx="1">
                  <c:v>24.1</c:v>
                </c:pt>
                <c:pt idx="2">
                  <c:v>37.200000000000003</c:v>
                </c:pt>
                <c:pt idx="3">
                  <c:v>28.4</c:v>
                </c:pt>
                <c:pt idx="4">
                  <c:v>30.5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73D-4320-B32C-D7BB78029E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0350527"/>
        <c:axId val="1870351007"/>
      </c:scatterChart>
      <c:valAx>
        <c:axId val="1870350527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Uke</a:t>
                </a:r>
              </a:p>
            </c:rich>
          </c:tx>
          <c:overlay val="0"/>
          <c:spPr>
            <a:noFill/>
            <a:ln w="6350"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351007"/>
        <c:crosses val="autoZero"/>
        <c:crossBetween val="midCat"/>
        <c:majorUnit val="3"/>
      </c:valAx>
      <c:valAx>
        <c:axId val="1870351007"/>
        <c:scaling>
          <c:orientation val="minMax"/>
          <c:max val="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Tøyning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350527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Elastisitetsmodul mot uke (PLA 40 °C)</a:t>
            </a:r>
          </a:p>
        </c:rich>
      </c:tx>
      <c:layout>
        <c:manualLayout>
          <c:xMode val="edge"/>
          <c:yMode val="edge"/>
          <c:x val="0.30171110455573458"/>
          <c:y val="4.05092592592592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Tørr</c:v>
          </c:tx>
          <c:spPr>
            <a:ln w="12700" cap="rnd">
              <a:solidFill>
                <a:srgbClr val="375623"/>
              </a:solidFill>
              <a:prstDash val="solid"/>
              <a:round/>
            </a:ln>
            <a:effectLst/>
          </c:spPr>
          <c:marker>
            <c:symbol val="triangle"/>
            <c:size val="5"/>
            <c:spPr>
              <a:solidFill>
                <a:srgbClr val="375623"/>
              </a:solidFill>
              <a:ln w="9525">
                <a:solidFill>
                  <a:srgbClr val="375623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PLA!$Q$29:$Q$33</c:f>
                <c:numCache>
                  <c:formatCode>General</c:formatCode>
                  <c:ptCount val="5"/>
                  <c:pt idx="0">
                    <c:v>94</c:v>
                  </c:pt>
                  <c:pt idx="1">
                    <c:v>125</c:v>
                  </c:pt>
                  <c:pt idx="2">
                    <c:v>176.5</c:v>
                  </c:pt>
                  <c:pt idx="3">
                    <c:v>47.3</c:v>
                  </c:pt>
                  <c:pt idx="4">
                    <c:v>85.5</c:v>
                  </c:pt>
                </c:numCache>
              </c:numRef>
            </c:plus>
            <c:minus>
              <c:numRef>
                <c:f>PLA!$Q$29:$Q$33</c:f>
                <c:numCache>
                  <c:formatCode>General</c:formatCode>
                  <c:ptCount val="5"/>
                  <c:pt idx="0">
                    <c:v>94</c:v>
                  </c:pt>
                  <c:pt idx="1">
                    <c:v>125</c:v>
                  </c:pt>
                  <c:pt idx="2">
                    <c:v>176.5</c:v>
                  </c:pt>
                  <c:pt idx="3">
                    <c:v>47.3</c:v>
                  </c:pt>
                  <c:pt idx="4">
                    <c:v>85.5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PLA!$B$29:$B$33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PLA!$O$29:$O$33</c:f>
              <c:numCache>
                <c:formatCode>0.00</c:formatCode>
                <c:ptCount val="5"/>
                <c:pt idx="0">
                  <c:v>1460</c:v>
                </c:pt>
                <c:pt idx="1">
                  <c:v>830</c:v>
                </c:pt>
                <c:pt idx="2">
                  <c:v>1070</c:v>
                </c:pt>
                <c:pt idx="3">
                  <c:v>1320</c:v>
                </c:pt>
                <c:pt idx="4">
                  <c:v>720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C5-49E6-BBB4-BEDC53157D63}"/>
            </c:ext>
          </c:extLst>
        </c:ser>
        <c:ser>
          <c:idx val="1"/>
          <c:order val="1"/>
          <c:tx>
            <c:v>Våt</c:v>
          </c:tx>
          <c:spPr>
            <a:ln w="12700" cap="rnd">
              <a:solidFill>
                <a:srgbClr val="70AD47"/>
              </a:solidFill>
              <a:prstDash val="lgDash"/>
              <a:round/>
            </a:ln>
            <a:effectLst/>
          </c:spPr>
          <c:marker>
            <c:symbol val="triangle"/>
            <c:size val="5"/>
            <c:spPr>
              <a:solidFill>
                <a:srgbClr val="70AD47"/>
              </a:solidFill>
              <a:ln w="9525">
                <a:solidFill>
                  <a:srgbClr val="70AD47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PLA!$E$29:$E$33</c:f>
                <c:numCache>
                  <c:formatCode>General</c:formatCode>
                  <c:ptCount val="5"/>
                  <c:pt idx="0">
                    <c:v>94</c:v>
                  </c:pt>
                  <c:pt idx="1">
                    <c:v>140</c:v>
                  </c:pt>
                  <c:pt idx="2">
                    <c:v>136</c:v>
                  </c:pt>
                  <c:pt idx="3">
                    <c:v>37.4</c:v>
                  </c:pt>
                  <c:pt idx="4">
                    <c:v>81.5</c:v>
                  </c:pt>
                </c:numCache>
              </c:numRef>
            </c:plus>
            <c:minus>
              <c:numRef>
                <c:f>PLA!$E$29:$E$33</c:f>
                <c:numCache>
                  <c:formatCode>General</c:formatCode>
                  <c:ptCount val="5"/>
                  <c:pt idx="0">
                    <c:v>94</c:v>
                  </c:pt>
                  <c:pt idx="1">
                    <c:v>140</c:v>
                  </c:pt>
                  <c:pt idx="2">
                    <c:v>136</c:v>
                  </c:pt>
                  <c:pt idx="3">
                    <c:v>37.4</c:v>
                  </c:pt>
                  <c:pt idx="4">
                    <c:v>81.5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PLA!$B$29:$B$33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PLA!$C$29:$C$33</c:f>
              <c:numCache>
                <c:formatCode>0.00</c:formatCode>
                <c:ptCount val="5"/>
                <c:pt idx="0">
                  <c:v>1460</c:v>
                </c:pt>
                <c:pt idx="1">
                  <c:v>710</c:v>
                </c:pt>
                <c:pt idx="2">
                  <c:v>1100</c:v>
                </c:pt>
                <c:pt idx="3">
                  <c:v>1280</c:v>
                </c:pt>
                <c:pt idx="4">
                  <c:v>862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EC5-49E6-BBB4-BEDC53157D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0350527"/>
        <c:axId val="1870351007"/>
      </c:scatterChart>
      <c:valAx>
        <c:axId val="1870350527"/>
        <c:scaling>
          <c:orientation val="minMax"/>
          <c:max val="1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Uke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351007"/>
        <c:crosses val="autoZero"/>
        <c:crossBetween val="midCat"/>
        <c:majorUnit val="3"/>
      </c:valAx>
      <c:valAx>
        <c:axId val="1870351007"/>
        <c:scaling>
          <c:orientation val="minMax"/>
          <c:max val="16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Elastisitetsmodul [MPa]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3505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Flytespenning mot uke (PLA 40 °C)</a:t>
            </a:r>
          </a:p>
        </c:rich>
      </c:tx>
      <c:layout>
        <c:manualLayout>
          <c:xMode val="edge"/>
          <c:yMode val="edge"/>
          <c:x val="0.3852845581802275"/>
          <c:y val="3.703703703703703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Tørr</c:v>
          </c:tx>
          <c:spPr>
            <a:ln w="12700">
              <a:solidFill>
                <a:srgbClr val="375623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375623"/>
              </a:solidFill>
              <a:ln>
                <a:solidFill>
                  <a:srgbClr val="375623"/>
                </a:solidFill>
                <a:prstDash val="solid"/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PLA!$T$29:$T$33</c:f>
                <c:numCache>
                  <c:formatCode>General</c:formatCode>
                  <c:ptCount val="5"/>
                  <c:pt idx="0">
                    <c:v>0.99</c:v>
                  </c:pt>
                  <c:pt idx="1">
                    <c:v>0.58499999999999996</c:v>
                  </c:pt>
                  <c:pt idx="2">
                    <c:v>4.0999999999999996</c:v>
                  </c:pt>
                  <c:pt idx="3">
                    <c:v>1.0249999999999999</c:v>
                  </c:pt>
                  <c:pt idx="4">
                    <c:v>0.62</c:v>
                  </c:pt>
                </c:numCache>
              </c:numRef>
            </c:plus>
            <c:minus>
              <c:numRef>
                <c:f>PLA!$T$29:$T$33</c:f>
                <c:numCache>
                  <c:formatCode>General</c:formatCode>
                  <c:ptCount val="5"/>
                  <c:pt idx="0">
                    <c:v>0.99</c:v>
                  </c:pt>
                  <c:pt idx="1">
                    <c:v>0.58499999999999996</c:v>
                  </c:pt>
                  <c:pt idx="2">
                    <c:v>4.0999999999999996</c:v>
                  </c:pt>
                  <c:pt idx="3">
                    <c:v>1.0249999999999999</c:v>
                  </c:pt>
                  <c:pt idx="4">
                    <c:v>0.62</c:v>
                  </c:pt>
                </c:numCache>
              </c:numRef>
            </c:minus>
          </c:errBars>
          <c:xVal>
            <c:numRef>
              <c:f>PLA!$B$29:$B$33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PLA!$R$29:$R$33</c:f>
              <c:numCache>
                <c:formatCode>0.00</c:formatCode>
                <c:ptCount val="5"/>
                <c:pt idx="0">
                  <c:v>15</c:v>
                </c:pt>
                <c:pt idx="1">
                  <c:v>16</c:v>
                </c:pt>
                <c:pt idx="2">
                  <c:v>13</c:v>
                </c:pt>
                <c:pt idx="3">
                  <c:v>15.5</c:v>
                </c:pt>
                <c:pt idx="4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6C-4237-A667-E37F19FF863E}"/>
            </c:ext>
          </c:extLst>
        </c:ser>
        <c:ser>
          <c:idx val="1"/>
          <c:order val="1"/>
          <c:tx>
            <c:v>Våt</c:v>
          </c:tx>
          <c:spPr>
            <a:ln w="12700">
              <a:solidFill>
                <a:srgbClr val="70AD47"/>
              </a:solidFill>
              <a:prstDash val="lgDash"/>
            </a:ln>
          </c:spPr>
          <c:marker>
            <c:symbol val="triangle"/>
            <c:size val="5"/>
            <c: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PLA!$H$29:$H$33</c:f>
                <c:numCache>
                  <c:formatCode>General</c:formatCode>
                  <c:ptCount val="5"/>
                  <c:pt idx="0">
                    <c:v>0.99</c:v>
                  </c:pt>
                  <c:pt idx="1">
                    <c:v>0.86</c:v>
                  </c:pt>
                  <c:pt idx="2">
                    <c:v>6</c:v>
                  </c:pt>
                  <c:pt idx="3">
                    <c:v>1.37</c:v>
                  </c:pt>
                  <c:pt idx="4">
                    <c:v>0.42699999999999999</c:v>
                  </c:pt>
                </c:numCache>
              </c:numRef>
            </c:plus>
            <c:minus>
              <c:numRef>
                <c:f>PLA!$H$29:$H$33</c:f>
                <c:numCache>
                  <c:formatCode>General</c:formatCode>
                  <c:ptCount val="5"/>
                  <c:pt idx="0">
                    <c:v>0.99</c:v>
                  </c:pt>
                  <c:pt idx="1">
                    <c:v>0.86</c:v>
                  </c:pt>
                  <c:pt idx="2">
                    <c:v>6</c:v>
                  </c:pt>
                  <c:pt idx="3">
                    <c:v>1.37</c:v>
                  </c:pt>
                  <c:pt idx="4">
                    <c:v>0.42699999999999999</c:v>
                  </c:pt>
                </c:numCache>
              </c:numRef>
            </c:minus>
          </c:errBars>
          <c:xVal>
            <c:numRef>
              <c:f>PLA!$B$29:$B$33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PLA!$F$29:$F$33</c:f>
              <c:numCache>
                <c:formatCode>0.00</c:formatCode>
                <c:ptCount val="5"/>
                <c:pt idx="0">
                  <c:v>15</c:v>
                </c:pt>
                <c:pt idx="1">
                  <c:v>16.600000000000001</c:v>
                </c:pt>
                <c:pt idx="2">
                  <c:v>17.7</c:v>
                </c:pt>
                <c:pt idx="3">
                  <c:v>19.3</c:v>
                </c:pt>
                <c:pt idx="4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06C-4237-A667-E37F19FF86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0350527"/>
        <c:axId val="1870351007"/>
      </c:scatterChart>
      <c:valAx>
        <c:axId val="1870350527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100" b="1"/>
                </a:pPr>
                <a:r>
                  <a:rPr lang="en-US"/>
                  <a:t>Uke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351007"/>
        <c:crosses val="autoZero"/>
        <c:crossBetween val="midCat"/>
        <c:majorUnit val="3"/>
      </c:valAx>
      <c:valAx>
        <c:axId val="1870351007"/>
        <c:scaling>
          <c:orientation val="minMax"/>
          <c:max val="4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100" b="1"/>
                </a:pPr>
                <a:r>
                  <a:rPr lang="en-US"/>
                  <a:t>Flytegrense (0,2%) [MPa]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350527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ln w="6350">
      <a:solidFill>
        <a:schemeClr val="tx1">
          <a:tint val="75000"/>
        </a:schemeClr>
      </a:solidFill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Strekkfasthet mot uke (PLA 40 °C)</a:t>
            </a:r>
          </a:p>
        </c:rich>
      </c:tx>
      <c:layout>
        <c:manualLayout>
          <c:xMode val="edge"/>
          <c:yMode val="edge"/>
          <c:x val="0.23478491114536609"/>
          <c:y val="3.70371866871828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Tørr</c:v>
          </c:tx>
          <c:spPr>
            <a:ln w="12700" cap="rnd">
              <a:solidFill>
                <a:srgbClr val="375623"/>
              </a:solidFill>
              <a:prstDash val="solid"/>
              <a:round/>
            </a:ln>
            <a:effectLst/>
          </c:spPr>
          <c:marker>
            <c:symbol val="triangle"/>
            <c:size val="5"/>
            <c:spPr>
              <a:solidFill>
                <a:srgbClr val="375623"/>
              </a:solidFill>
              <a:ln w="9525">
                <a:solidFill>
                  <a:srgbClr val="375623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PLA!$W$29:$W$33</c:f>
                <c:numCache>
                  <c:formatCode>General</c:formatCode>
                  <c:ptCount val="5"/>
                  <c:pt idx="0">
                    <c:v>1.075</c:v>
                  </c:pt>
                  <c:pt idx="1">
                    <c:v>0.26550000000000001</c:v>
                  </c:pt>
                  <c:pt idx="2">
                    <c:v>2.355</c:v>
                  </c:pt>
                  <c:pt idx="3">
                    <c:v>1.41</c:v>
                  </c:pt>
                  <c:pt idx="4">
                    <c:v>1.03</c:v>
                  </c:pt>
                </c:numCache>
              </c:numRef>
            </c:plus>
            <c:minus>
              <c:numRef>
                <c:f>PLA!$W$29:$W$33</c:f>
                <c:numCache>
                  <c:formatCode>General</c:formatCode>
                  <c:ptCount val="5"/>
                  <c:pt idx="0">
                    <c:v>1.075</c:v>
                  </c:pt>
                  <c:pt idx="1">
                    <c:v>0.26550000000000001</c:v>
                  </c:pt>
                  <c:pt idx="2">
                    <c:v>2.355</c:v>
                  </c:pt>
                  <c:pt idx="3">
                    <c:v>1.41</c:v>
                  </c:pt>
                  <c:pt idx="4">
                    <c:v>1.03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PLA!$B$29:$B$33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PLA!$U$29:$U$33</c:f>
              <c:numCache>
                <c:formatCode>0.00</c:formatCode>
                <c:ptCount val="5"/>
                <c:pt idx="0">
                  <c:v>49.5</c:v>
                </c:pt>
                <c:pt idx="1">
                  <c:v>49.8</c:v>
                </c:pt>
                <c:pt idx="2">
                  <c:v>47</c:v>
                </c:pt>
                <c:pt idx="3">
                  <c:v>46.4</c:v>
                </c:pt>
                <c:pt idx="4">
                  <c:v>39.299999999999997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AF-4560-8CEE-BB347609896D}"/>
            </c:ext>
          </c:extLst>
        </c:ser>
        <c:ser>
          <c:idx val="1"/>
          <c:order val="1"/>
          <c:tx>
            <c:v>Våt</c:v>
          </c:tx>
          <c:spPr>
            <a:ln w="12700" cap="rnd">
              <a:solidFill>
                <a:srgbClr val="70AD47"/>
              </a:solidFill>
              <a:prstDash val="lgDash"/>
              <a:round/>
            </a:ln>
            <a:effectLst/>
          </c:spPr>
          <c:marker>
            <c:symbol val="triangle"/>
            <c:size val="5"/>
            <c:spPr>
              <a:solidFill>
                <a:srgbClr val="70AD47"/>
              </a:solidFill>
              <a:ln w="9525">
                <a:solidFill>
                  <a:srgbClr val="70AD47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PLA!$K$29:$K$33</c:f>
                <c:numCache>
                  <c:formatCode>General</c:formatCode>
                  <c:ptCount val="5"/>
                  <c:pt idx="0">
                    <c:v>1.075</c:v>
                  </c:pt>
                  <c:pt idx="1">
                    <c:v>0.98</c:v>
                  </c:pt>
                  <c:pt idx="2">
                    <c:v>0.85</c:v>
                  </c:pt>
                  <c:pt idx="3">
                    <c:v>0.82499999999999996</c:v>
                  </c:pt>
                  <c:pt idx="4">
                    <c:v>1.095</c:v>
                  </c:pt>
                </c:numCache>
              </c:numRef>
            </c:plus>
            <c:minus>
              <c:numRef>
                <c:f>PLA!$K$29:$K$33</c:f>
                <c:numCache>
                  <c:formatCode>General</c:formatCode>
                  <c:ptCount val="5"/>
                  <c:pt idx="0">
                    <c:v>1.075</c:v>
                  </c:pt>
                  <c:pt idx="1">
                    <c:v>0.98</c:v>
                  </c:pt>
                  <c:pt idx="2">
                    <c:v>0.85</c:v>
                  </c:pt>
                  <c:pt idx="3">
                    <c:v>0.82499999999999996</c:v>
                  </c:pt>
                  <c:pt idx="4">
                    <c:v>1.095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PLA!$B$29:$B$33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PLA!$I$29:$I$33</c:f>
              <c:numCache>
                <c:formatCode>0.00</c:formatCode>
                <c:ptCount val="5"/>
                <c:pt idx="0">
                  <c:v>49.5</c:v>
                </c:pt>
                <c:pt idx="1">
                  <c:v>46.2</c:v>
                </c:pt>
                <c:pt idx="2">
                  <c:v>42</c:v>
                </c:pt>
                <c:pt idx="3">
                  <c:v>52.6</c:v>
                </c:pt>
                <c:pt idx="4">
                  <c:v>33.5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BAF-4560-8CEE-BB34760989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0350527"/>
        <c:axId val="1870351007"/>
      </c:scatterChart>
      <c:valAx>
        <c:axId val="1870350527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Uke</a:t>
                </a:r>
              </a:p>
            </c:rich>
          </c:tx>
          <c:overlay val="0"/>
          <c:spPr>
            <a:noFill/>
            <a:ln w="6350"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351007"/>
        <c:crosses val="autoZero"/>
        <c:crossBetween val="midCat"/>
        <c:majorUnit val="3"/>
      </c:valAx>
      <c:valAx>
        <c:axId val="1870351007"/>
        <c:scaling>
          <c:orientation val="minMax"/>
          <c:max val="6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Strekkfasthet [MPa]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350527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Tøyning mot uke (PLA 40 °C)</a:t>
            </a:r>
          </a:p>
        </c:rich>
      </c:tx>
      <c:layout>
        <c:manualLayout>
          <c:xMode val="edge"/>
          <c:yMode val="edge"/>
          <c:x val="0.23478491114536609"/>
          <c:y val="3.70371866871828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Tørr</c:v>
          </c:tx>
          <c:spPr>
            <a:ln w="12700" cap="rnd">
              <a:solidFill>
                <a:srgbClr val="375623"/>
              </a:solidFill>
              <a:prstDash val="solid"/>
              <a:round/>
            </a:ln>
            <a:effectLst/>
          </c:spPr>
          <c:marker>
            <c:symbol val="triangle"/>
            <c:size val="5"/>
            <c:spPr>
              <a:solidFill>
                <a:srgbClr val="375623"/>
              </a:solidFill>
              <a:ln w="9525">
                <a:solidFill>
                  <a:srgbClr val="375623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PLA!$Z$29:$Z$33</c:f>
                <c:numCache>
                  <c:formatCode>General</c:formatCode>
                  <c:ptCount val="5"/>
                  <c:pt idx="0">
                    <c:v>1.81</c:v>
                  </c:pt>
                  <c:pt idx="1">
                    <c:v>6.45</c:v>
                  </c:pt>
                  <c:pt idx="2">
                    <c:v>2.085</c:v>
                  </c:pt>
                  <c:pt idx="3">
                    <c:v>9.4</c:v>
                  </c:pt>
                  <c:pt idx="4">
                    <c:v>4.5149999999999997</c:v>
                  </c:pt>
                </c:numCache>
              </c:numRef>
            </c:plus>
            <c:minus>
              <c:numRef>
                <c:f>PLA!$Z$29:$Z$33</c:f>
                <c:numCache>
                  <c:formatCode>General</c:formatCode>
                  <c:ptCount val="5"/>
                  <c:pt idx="0">
                    <c:v>1.81</c:v>
                  </c:pt>
                  <c:pt idx="1">
                    <c:v>6.45</c:v>
                  </c:pt>
                  <c:pt idx="2">
                    <c:v>2.085</c:v>
                  </c:pt>
                  <c:pt idx="3">
                    <c:v>9.4</c:v>
                  </c:pt>
                  <c:pt idx="4">
                    <c:v>4.5149999999999997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PLA!$B$29:$B$33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PLA!$X$29:$X$33</c:f>
              <c:numCache>
                <c:formatCode>0.00</c:formatCode>
                <c:ptCount val="5"/>
                <c:pt idx="0">
                  <c:v>12.3</c:v>
                </c:pt>
                <c:pt idx="1">
                  <c:v>30.4</c:v>
                </c:pt>
                <c:pt idx="2">
                  <c:v>26</c:v>
                </c:pt>
                <c:pt idx="3">
                  <c:v>35.799999999999997</c:v>
                </c:pt>
                <c:pt idx="4">
                  <c:v>18.5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7A-4560-9E05-26C3AF2B69FA}"/>
            </c:ext>
          </c:extLst>
        </c:ser>
        <c:ser>
          <c:idx val="1"/>
          <c:order val="1"/>
          <c:tx>
            <c:v>Våt</c:v>
          </c:tx>
          <c:spPr>
            <a:ln w="12700" cap="rnd">
              <a:solidFill>
                <a:srgbClr val="70AD47"/>
              </a:solidFill>
              <a:prstDash val="lgDash"/>
              <a:round/>
            </a:ln>
            <a:effectLst/>
          </c:spPr>
          <c:marker>
            <c:symbol val="triangle"/>
            <c:size val="5"/>
            <c:spPr>
              <a:solidFill>
                <a:srgbClr val="70AD47"/>
              </a:solidFill>
              <a:ln w="19050">
                <a:solidFill>
                  <a:srgbClr val="70AD47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PLA!$N$29:$N$33</c:f>
                <c:numCache>
                  <c:formatCode>General</c:formatCode>
                  <c:ptCount val="5"/>
                  <c:pt idx="0">
                    <c:v>1.81</c:v>
                  </c:pt>
                  <c:pt idx="1">
                    <c:v>7.95</c:v>
                  </c:pt>
                  <c:pt idx="2">
                    <c:v>4.38</c:v>
                  </c:pt>
                  <c:pt idx="3">
                    <c:v>7</c:v>
                  </c:pt>
                  <c:pt idx="4">
                    <c:v>5.2</c:v>
                  </c:pt>
                </c:numCache>
              </c:numRef>
            </c:plus>
            <c:minus>
              <c:numRef>
                <c:f>PLA!$N$29:$N$33</c:f>
                <c:numCache>
                  <c:formatCode>General</c:formatCode>
                  <c:ptCount val="5"/>
                  <c:pt idx="0">
                    <c:v>1.81</c:v>
                  </c:pt>
                  <c:pt idx="1">
                    <c:v>7.95</c:v>
                  </c:pt>
                  <c:pt idx="2">
                    <c:v>4.38</c:v>
                  </c:pt>
                  <c:pt idx="3">
                    <c:v>7</c:v>
                  </c:pt>
                  <c:pt idx="4">
                    <c:v>5.2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PLA!$B$29:$B$33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PLA!$L$29:$L$33</c:f>
              <c:numCache>
                <c:formatCode>0.00</c:formatCode>
                <c:ptCount val="5"/>
                <c:pt idx="0">
                  <c:v>12.3</c:v>
                </c:pt>
                <c:pt idx="1">
                  <c:v>42.1</c:v>
                </c:pt>
                <c:pt idx="2">
                  <c:v>34.4</c:v>
                </c:pt>
                <c:pt idx="3">
                  <c:v>24.1</c:v>
                </c:pt>
                <c:pt idx="4">
                  <c:v>17.7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D7A-4560-9E05-26C3AF2B69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0350527"/>
        <c:axId val="1870351007"/>
      </c:scatterChart>
      <c:valAx>
        <c:axId val="1870350527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Uke</a:t>
                </a:r>
              </a:p>
            </c:rich>
          </c:tx>
          <c:overlay val="0"/>
          <c:spPr>
            <a:noFill/>
            <a:ln w="6350"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351007"/>
        <c:crosses val="autoZero"/>
        <c:crossBetween val="midCat"/>
        <c:majorUnit val="3"/>
      </c:valAx>
      <c:valAx>
        <c:axId val="1870351007"/>
        <c:scaling>
          <c:orientation val="minMax"/>
          <c:max val="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Tøyning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350527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Elastisitetsmodul mot uke (PLA 60 °C)</a:t>
            </a:r>
          </a:p>
        </c:rich>
      </c:tx>
      <c:layout>
        <c:manualLayout>
          <c:xMode val="edge"/>
          <c:yMode val="edge"/>
          <c:x val="0.30171110455573458"/>
          <c:y val="4.05092592592592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Tørr</c:v>
          </c:tx>
          <c:spPr>
            <a:ln w="12700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diamond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  <a:prstDash val="solid"/>
              </a:ln>
              <a:effectLst/>
            </c:spPr>
          </c:marker>
          <c:dPt>
            <c:idx val="1"/>
            <c:marker>
              <c:symbol val="diamond"/>
              <c:size val="5"/>
              <c:spPr>
                <a:solidFill>
                  <a:srgbClr val="C00000"/>
                </a:solidFill>
                <a:ln w="9525">
                  <a:solidFill>
                    <a:srgbClr val="C00000"/>
                  </a:solidFill>
                  <a:prstDash val="solid"/>
                </a:ln>
                <a:effectLst/>
              </c:spPr>
            </c:marker>
            <c:bubble3D val="0"/>
            <c:spPr>
              <a:ln w="12700" cap="rnd">
                <a:solidFill>
                  <a:srgbClr val="C00000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1A08-4F7D-9E6D-4439EBBE95CD}"/>
              </c:ext>
            </c:extLst>
          </c:dPt>
          <c:errBars>
            <c:errDir val="y"/>
            <c:errBarType val="both"/>
            <c:errValType val="cust"/>
            <c:noEndCap val="0"/>
            <c:plus>
              <c:numRef>
                <c:f>PLA!$Q$53:$Q$57</c:f>
                <c:numCache>
                  <c:formatCode>General</c:formatCode>
                  <c:ptCount val="5"/>
                  <c:pt idx="0">
                    <c:v>94</c:v>
                  </c:pt>
                  <c:pt idx="1">
                    <c:v>271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</c:numCache>
              </c:numRef>
            </c:plus>
            <c:minus>
              <c:numRef>
                <c:f>PLA!$Q$53:$Q$57</c:f>
                <c:numCache>
                  <c:formatCode>General</c:formatCode>
                  <c:ptCount val="5"/>
                  <c:pt idx="0">
                    <c:v>94</c:v>
                  </c:pt>
                  <c:pt idx="1">
                    <c:v>271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PLA!$B$53:$B$57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PLA!$O$53:$O$57</c:f>
              <c:numCache>
                <c:formatCode>0.00</c:formatCode>
                <c:ptCount val="5"/>
                <c:pt idx="0">
                  <c:v>1460</c:v>
                </c:pt>
                <c:pt idx="1">
                  <c:v>815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95-49BD-833E-712C1CFC7FC9}"/>
            </c:ext>
          </c:extLst>
        </c:ser>
        <c:ser>
          <c:idx val="1"/>
          <c:order val="1"/>
          <c:tx>
            <c:v>Våt</c:v>
          </c:tx>
          <c:spPr>
            <a:ln w="12700" cap="rnd">
              <a:solidFill>
                <a:srgbClr val="FF4040"/>
              </a:solidFill>
              <a:prstDash val="lgDash"/>
              <a:round/>
            </a:ln>
            <a:effectLst/>
          </c:spPr>
          <c:marker>
            <c:symbol val="diamond"/>
            <c:size val="5"/>
            <c:spPr>
              <a:solidFill>
                <a:srgbClr val="FF4040"/>
              </a:solidFill>
              <a:ln w="9525">
                <a:solidFill>
                  <a:srgbClr val="FF4040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PLA!$E$53:$E$57</c:f>
                <c:numCache>
                  <c:formatCode>General</c:formatCode>
                  <c:ptCount val="5"/>
                  <c:pt idx="0">
                    <c:v>94</c:v>
                  </c:pt>
                  <c:pt idx="1">
                    <c:v>70.5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</c:numCache>
              </c:numRef>
            </c:plus>
            <c:minus>
              <c:numRef>
                <c:f>PLA!$E$53:$E$57</c:f>
                <c:numCache>
                  <c:formatCode>General</c:formatCode>
                  <c:ptCount val="5"/>
                  <c:pt idx="0">
                    <c:v>94</c:v>
                  </c:pt>
                  <c:pt idx="1">
                    <c:v>70.5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PLA!$B$53:$B$57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PLA!$C$53:$C$57</c:f>
              <c:numCache>
                <c:formatCode>0.00</c:formatCode>
                <c:ptCount val="5"/>
                <c:pt idx="0">
                  <c:v>1460</c:v>
                </c:pt>
                <c:pt idx="1">
                  <c:v>1310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995-49BD-833E-712C1CFC7F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0350527"/>
        <c:axId val="1870351007"/>
      </c:scatterChart>
      <c:valAx>
        <c:axId val="1870350527"/>
        <c:scaling>
          <c:orientation val="minMax"/>
          <c:max val="1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Uke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351007"/>
        <c:crosses val="autoZero"/>
        <c:crossBetween val="midCat"/>
        <c:majorUnit val="3"/>
      </c:valAx>
      <c:valAx>
        <c:axId val="1870351007"/>
        <c:scaling>
          <c:orientation val="minMax"/>
          <c:max val="16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Elastisitetsmodul [MPa]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3505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Flytespenning mot uke (PLA 60 °C)</a:t>
            </a:r>
          </a:p>
        </c:rich>
      </c:tx>
      <c:layout>
        <c:manualLayout>
          <c:xMode val="edge"/>
          <c:yMode val="edge"/>
          <c:x val="0.3852845581802275"/>
          <c:y val="3.703703703703703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Tørr</c:v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C00000"/>
              </a:solidFill>
              <a:ln>
                <a:solidFill>
                  <a:srgbClr val="C00000"/>
                </a:solidFill>
                <a:prstDash val="solid"/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PLA!$T$53:$T$57</c:f>
                <c:numCache>
                  <c:formatCode>General</c:formatCode>
                  <c:ptCount val="5"/>
                  <c:pt idx="0">
                    <c:v>0.99</c:v>
                  </c:pt>
                  <c:pt idx="1">
                    <c:v>1.2749999999999999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</c:numCache>
              </c:numRef>
            </c:plus>
            <c:minus>
              <c:numRef>
                <c:f>PLA!$T$53:$T$57</c:f>
                <c:numCache>
                  <c:formatCode>General</c:formatCode>
                  <c:ptCount val="5"/>
                  <c:pt idx="0">
                    <c:v>0.99</c:v>
                  </c:pt>
                  <c:pt idx="1">
                    <c:v>1.2749999999999999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</c:numCache>
              </c:numRef>
            </c:minus>
          </c:errBars>
          <c:xVal>
            <c:numRef>
              <c:f>PLA!$B$53:$B$57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PLA!$R$53:$R$57</c:f>
              <c:numCache>
                <c:formatCode>0.00</c:formatCode>
                <c:ptCount val="5"/>
                <c:pt idx="0">
                  <c:v>15</c:v>
                </c:pt>
                <c:pt idx="1">
                  <c:v>12.9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51-4D4F-AE92-5DEFFECC1D1B}"/>
            </c:ext>
          </c:extLst>
        </c:ser>
        <c:ser>
          <c:idx val="1"/>
          <c:order val="1"/>
          <c:tx>
            <c:v>Våt</c:v>
          </c:tx>
          <c:spPr>
            <a:ln w="12700">
              <a:solidFill>
                <a:srgbClr val="FF4040"/>
              </a:solidFill>
              <a:prstDash val="lgDash"/>
            </a:ln>
          </c:spPr>
          <c:marker>
            <c:symbol val="diamond"/>
            <c:size val="5"/>
            <c:spPr>
              <a:solidFill>
                <a:srgbClr val="FF4040"/>
              </a:solidFill>
              <a:ln>
                <a:solidFill>
                  <a:srgbClr val="FF4040"/>
                </a:solidFill>
                <a:prstDash val="solid"/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PLA!$H$53:$H$57</c:f>
                <c:numCache>
                  <c:formatCode>General</c:formatCode>
                  <c:ptCount val="5"/>
                  <c:pt idx="0">
                    <c:v>0.99</c:v>
                  </c:pt>
                  <c:pt idx="1">
                    <c:v>2.2850000000000001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</c:numCache>
              </c:numRef>
            </c:plus>
            <c:minus>
              <c:numRef>
                <c:f>PLA!$H$53:$H$57</c:f>
                <c:numCache>
                  <c:formatCode>General</c:formatCode>
                  <c:ptCount val="5"/>
                  <c:pt idx="0">
                    <c:v>0.99</c:v>
                  </c:pt>
                  <c:pt idx="1">
                    <c:v>2.2850000000000001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</c:numCache>
              </c:numRef>
            </c:minus>
          </c:errBars>
          <c:xVal>
            <c:numRef>
              <c:f>PLA!$B$53:$B$57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PLA!$F$53:$F$57</c:f>
              <c:numCache>
                <c:formatCode>0.00</c:formatCode>
                <c:ptCount val="5"/>
                <c:pt idx="0">
                  <c:v>15</c:v>
                </c:pt>
                <c:pt idx="1">
                  <c:v>15.8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851-4D4F-AE92-5DEFFECC1D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0350527"/>
        <c:axId val="1870351007"/>
      </c:scatterChart>
      <c:valAx>
        <c:axId val="1870350527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100" b="1"/>
                </a:pPr>
                <a:r>
                  <a:rPr lang="en-US"/>
                  <a:t>Uke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351007"/>
        <c:crosses val="autoZero"/>
        <c:crossBetween val="midCat"/>
        <c:majorUnit val="3"/>
      </c:valAx>
      <c:valAx>
        <c:axId val="1870351007"/>
        <c:scaling>
          <c:orientation val="minMax"/>
          <c:max val="4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100" b="1"/>
                </a:pPr>
                <a:r>
                  <a:rPr lang="en-US"/>
                  <a:t>Flytegrense (0,2%) [MPa]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350527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ln w="6350">
      <a:solidFill>
        <a:schemeClr val="tx1">
          <a:tint val="75000"/>
        </a:schemeClr>
      </a:solidFill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Strekkfasthet mot uke (PLA 60 °C)</a:t>
            </a:r>
          </a:p>
        </c:rich>
      </c:tx>
      <c:layout>
        <c:manualLayout>
          <c:xMode val="edge"/>
          <c:yMode val="edge"/>
          <c:x val="0.23478491114536609"/>
          <c:y val="3.70371866871828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Tørr</c:v>
          </c:tx>
          <c:spPr>
            <a:ln w="12700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diamond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PLA!$W$53:$W$57</c:f>
                <c:numCache>
                  <c:formatCode>General</c:formatCode>
                  <c:ptCount val="5"/>
                  <c:pt idx="0">
                    <c:v>1.075</c:v>
                  </c:pt>
                  <c:pt idx="1">
                    <c:v>2.37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</c:numCache>
              </c:numRef>
            </c:plus>
            <c:minus>
              <c:numRef>
                <c:f>PLA!$W$53:$W$57</c:f>
                <c:numCache>
                  <c:formatCode>General</c:formatCode>
                  <c:ptCount val="5"/>
                  <c:pt idx="0">
                    <c:v>1.075</c:v>
                  </c:pt>
                  <c:pt idx="1">
                    <c:v>2.37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PLA!$B$53:$B$57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PLA!$U$53:$U$57</c:f>
              <c:numCache>
                <c:formatCode>0.00</c:formatCode>
                <c:ptCount val="5"/>
                <c:pt idx="0">
                  <c:v>49.5</c:v>
                </c:pt>
                <c:pt idx="1">
                  <c:v>39.6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FA-4D2C-A8AD-62B937878B68}"/>
            </c:ext>
          </c:extLst>
        </c:ser>
        <c:ser>
          <c:idx val="1"/>
          <c:order val="1"/>
          <c:tx>
            <c:v>Våt</c:v>
          </c:tx>
          <c:spPr>
            <a:ln w="12700" cap="rnd">
              <a:solidFill>
                <a:srgbClr val="FF4040"/>
              </a:solidFill>
              <a:prstDash val="lgDash"/>
              <a:round/>
            </a:ln>
            <a:effectLst/>
          </c:spPr>
          <c:marker>
            <c:symbol val="diamond"/>
            <c:size val="5"/>
            <c:spPr>
              <a:solidFill>
                <a:srgbClr val="FF4040"/>
              </a:solidFill>
              <a:ln w="9525">
                <a:solidFill>
                  <a:srgbClr val="FF4040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PLA!$K$53:$K$57</c:f>
                <c:numCache>
                  <c:formatCode>General</c:formatCode>
                  <c:ptCount val="5"/>
                  <c:pt idx="0">
                    <c:v>1.075</c:v>
                  </c:pt>
                  <c:pt idx="1">
                    <c:v>1.655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</c:numCache>
              </c:numRef>
            </c:plus>
            <c:minus>
              <c:numRef>
                <c:f>PLA!$K$53:$K$57</c:f>
                <c:numCache>
                  <c:formatCode>General</c:formatCode>
                  <c:ptCount val="5"/>
                  <c:pt idx="0">
                    <c:v>1.075</c:v>
                  </c:pt>
                  <c:pt idx="1">
                    <c:v>1.655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PLA!$B$53:$B$57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PLA!$I$53:$I$57</c:f>
              <c:numCache>
                <c:formatCode>0.00</c:formatCode>
                <c:ptCount val="5"/>
                <c:pt idx="0">
                  <c:v>49.5</c:v>
                </c:pt>
                <c:pt idx="1">
                  <c:v>47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AFA-4D2C-A8AD-62B937878B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0350527"/>
        <c:axId val="1870351007"/>
      </c:scatterChart>
      <c:valAx>
        <c:axId val="1870350527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Uke</a:t>
                </a:r>
              </a:p>
            </c:rich>
          </c:tx>
          <c:overlay val="0"/>
          <c:spPr>
            <a:noFill/>
            <a:ln w="6350"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351007"/>
        <c:crosses val="autoZero"/>
        <c:crossBetween val="midCat"/>
        <c:majorUnit val="3"/>
      </c:valAx>
      <c:valAx>
        <c:axId val="1870351007"/>
        <c:scaling>
          <c:orientation val="minMax"/>
          <c:max val="6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Strekkfasthet [MPa]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350527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Tøyning mot uke (PLA 60 °C)</a:t>
            </a:r>
          </a:p>
        </c:rich>
      </c:tx>
      <c:layout>
        <c:manualLayout>
          <c:xMode val="edge"/>
          <c:yMode val="edge"/>
          <c:x val="0.23478491114536609"/>
          <c:y val="3.70371866871828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Tørr</c:v>
          </c:tx>
          <c:spPr>
            <a:ln w="12700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diamond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PLA!$Z$53:$Z$57</c:f>
                <c:numCache>
                  <c:formatCode>General</c:formatCode>
                  <c:ptCount val="5"/>
                  <c:pt idx="0">
                    <c:v>1.81</c:v>
                  </c:pt>
                  <c:pt idx="1">
                    <c:v>0.97499999999999998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</c:numCache>
              </c:numRef>
            </c:plus>
            <c:minus>
              <c:numRef>
                <c:f>PLA!$Z$53:$Z$57</c:f>
                <c:numCache>
                  <c:formatCode>General</c:formatCode>
                  <c:ptCount val="5"/>
                  <c:pt idx="0">
                    <c:v>1.81</c:v>
                  </c:pt>
                  <c:pt idx="1">
                    <c:v>0.97499999999999998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PLA!$B$53:$B$57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PLA!$X$53:$X$57</c:f>
              <c:numCache>
                <c:formatCode>0.00</c:formatCode>
                <c:ptCount val="5"/>
                <c:pt idx="0">
                  <c:v>12.3</c:v>
                </c:pt>
                <c:pt idx="1">
                  <c:v>7.43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9B-4D09-BB81-65BB1B0552E3}"/>
            </c:ext>
          </c:extLst>
        </c:ser>
        <c:ser>
          <c:idx val="1"/>
          <c:order val="1"/>
          <c:tx>
            <c:v>Våt</c:v>
          </c:tx>
          <c:spPr>
            <a:ln w="12700" cap="rnd">
              <a:solidFill>
                <a:srgbClr val="FF4040"/>
              </a:solidFill>
              <a:prstDash val="lgDash"/>
              <a:round/>
            </a:ln>
            <a:effectLst/>
          </c:spPr>
          <c:marker>
            <c:symbol val="diamond"/>
            <c:size val="5"/>
            <c:spPr>
              <a:solidFill>
                <a:srgbClr val="FF4040"/>
              </a:solidFill>
              <a:ln w="19050">
                <a:solidFill>
                  <a:srgbClr val="FF4040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PLA!$N$53:$N$57</c:f>
                <c:numCache>
                  <c:formatCode>General</c:formatCode>
                  <c:ptCount val="5"/>
                  <c:pt idx="0">
                    <c:v>1.81</c:v>
                  </c:pt>
                  <c:pt idx="1">
                    <c:v>0.495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</c:numCache>
              </c:numRef>
            </c:plus>
            <c:minus>
              <c:numRef>
                <c:f>PLA!$N$53:$N$57</c:f>
                <c:numCache>
                  <c:formatCode>General</c:formatCode>
                  <c:ptCount val="5"/>
                  <c:pt idx="0">
                    <c:v>1.81</c:v>
                  </c:pt>
                  <c:pt idx="1">
                    <c:v>0.495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PLA!$B$53:$B$57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PLA!$L$53:$L$57</c:f>
              <c:numCache>
                <c:formatCode>0.00</c:formatCode>
                <c:ptCount val="5"/>
                <c:pt idx="0">
                  <c:v>12.3</c:v>
                </c:pt>
                <c:pt idx="1">
                  <c:v>9.1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99B-4D09-BB81-65BB1B0552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0350527"/>
        <c:axId val="1870351007"/>
      </c:scatterChart>
      <c:valAx>
        <c:axId val="1870350527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Uke</a:t>
                </a:r>
              </a:p>
            </c:rich>
          </c:tx>
          <c:overlay val="0"/>
          <c:spPr>
            <a:noFill/>
            <a:ln w="6350"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351007"/>
        <c:crosses val="autoZero"/>
        <c:crossBetween val="midCat"/>
        <c:majorUnit val="3"/>
      </c:valAx>
      <c:valAx>
        <c:axId val="1870351007"/>
        <c:scaling>
          <c:orientation val="minMax"/>
          <c:max val="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Tøyning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350527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Strekkfasthet mot uke (PLA 20–40–60 °C)</a:t>
            </a:r>
          </a:p>
        </c:rich>
      </c:tx>
      <c:layout>
        <c:manualLayout>
          <c:xMode val="edge"/>
          <c:yMode val="edge"/>
          <c:x val="0.23478491114536609"/>
          <c:y val="3.70371866871828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Tørr 60 °C</c:v>
          </c:tx>
          <c:spPr>
            <a:ln w="12700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diamond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  <a:prstDash val="solid"/>
              </a:ln>
              <a:effectLst/>
            </c:spPr>
          </c:marker>
          <c:dPt>
            <c:idx val="1"/>
            <c:marker>
              <c:symbol val="diamond"/>
              <c:size val="5"/>
              <c:spPr>
                <a:solidFill>
                  <a:srgbClr val="C00000"/>
                </a:solidFill>
                <a:ln w="9525">
                  <a:solidFill>
                    <a:srgbClr val="C00000"/>
                  </a:solidFill>
                  <a:prstDash val="solid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D227-4AAC-BE51-382E8B0F2C8C}"/>
              </c:ext>
            </c:extLst>
          </c:dPt>
          <c:errBars>
            <c:errDir val="y"/>
            <c:errBarType val="both"/>
            <c:errValType val="cust"/>
            <c:noEndCap val="0"/>
            <c:plus>
              <c:numRef>
                <c:f>PLA!$W$53:$W$57</c:f>
                <c:numCache>
                  <c:formatCode>General</c:formatCode>
                  <c:ptCount val="5"/>
                  <c:pt idx="0">
                    <c:v>1.075</c:v>
                  </c:pt>
                  <c:pt idx="1">
                    <c:v>2.37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</c:numCache>
              </c:numRef>
            </c:plus>
            <c:minus>
              <c:numRef>
                <c:f>PLA!$W$53:$W$57</c:f>
                <c:numCache>
                  <c:formatCode>General</c:formatCode>
                  <c:ptCount val="5"/>
                  <c:pt idx="0">
                    <c:v>1.075</c:v>
                  </c:pt>
                  <c:pt idx="1">
                    <c:v>2.37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PLA!$B$53:$B$57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PLA!$U$53:$U$57</c:f>
              <c:numCache>
                <c:formatCode>0.00</c:formatCode>
                <c:ptCount val="5"/>
                <c:pt idx="0">
                  <c:v>49.5</c:v>
                </c:pt>
                <c:pt idx="1">
                  <c:v>39.6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1D-4F27-BD2F-A9A9EDD90C92}"/>
            </c:ext>
          </c:extLst>
        </c:ser>
        <c:ser>
          <c:idx val="1"/>
          <c:order val="1"/>
          <c:tx>
            <c:v>Våt 60 °C</c:v>
          </c:tx>
          <c:spPr>
            <a:ln w="12700" cap="rnd">
              <a:solidFill>
                <a:srgbClr val="FF4040"/>
              </a:solidFill>
              <a:prstDash val="lgDash"/>
              <a:round/>
            </a:ln>
            <a:effectLst/>
          </c:spPr>
          <c:marker>
            <c:symbol val="diamond"/>
            <c:size val="5"/>
            <c:spPr>
              <a:solidFill>
                <a:srgbClr val="FF4040"/>
              </a:solidFill>
              <a:ln w="9525">
                <a:solidFill>
                  <a:srgbClr val="FF4040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PLA!$B$53:$B$57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PLA!$I$53:$I$57</c:f>
              <c:numCache>
                <c:formatCode>0.00</c:formatCode>
                <c:ptCount val="5"/>
                <c:pt idx="0">
                  <c:v>49.5</c:v>
                </c:pt>
                <c:pt idx="1">
                  <c:v>47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1D-4F27-BD2F-A9A9EDD90C92}"/>
            </c:ext>
          </c:extLst>
        </c:ser>
        <c:ser>
          <c:idx val="2"/>
          <c:order val="2"/>
          <c:tx>
            <c:v>Tørr 40 °C</c:v>
          </c:tx>
          <c:spPr>
            <a:ln w="12700" cap="rnd">
              <a:solidFill>
                <a:srgbClr val="375623"/>
              </a:solidFill>
              <a:prstDash val="solid"/>
              <a:round/>
            </a:ln>
            <a:effectLst/>
          </c:spPr>
          <c:marker>
            <c:symbol val="triangle"/>
            <c:size val="5"/>
            <c:spPr>
              <a:solidFill>
                <a:srgbClr val="375623"/>
              </a:solidFill>
              <a:ln w="9525">
                <a:solidFill>
                  <a:srgbClr val="375623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PLA!$B$29:$B$33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PLA!$U$29:$U$33</c:f>
              <c:numCache>
                <c:formatCode>0.00</c:formatCode>
                <c:ptCount val="5"/>
                <c:pt idx="0">
                  <c:v>49.5</c:v>
                </c:pt>
                <c:pt idx="1">
                  <c:v>49.8</c:v>
                </c:pt>
                <c:pt idx="2">
                  <c:v>47</c:v>
                </c:pt>
                <c:pt idx="3">
                  <c:v>46.4</c:v>
                </c:pt>
                <c:pt idx="4">
                  <c:v>39.299999999999997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1D-4F27-BD2F-A9A9EDD90C92}"/>
            </c:ext>
          </c:extLst>
        </c:ser>
        <c:ser>
          <c:idx val="3"/>
          <c:order val="3"/>
          <c:tx>
            <c:v>Våt 40 °C</c:v>
          </c:tx>
          <c:spPr>
            <a:ln w="12700" cap="rnd">
              <a:solidFill>
                <a:srgbClr val="70AD47"/>
              </a:solidFill>
              <a:prstDash val="lgDash"/>
              <a:round/>
            </a:ln>
            <a:effectLst/>
          </c:spPr>
          <c:marker>
            <c:symbol val="triangle"/>
            <c:size val="5"/>
            <c:spPr>
              <a:solidFill>
                <a:srgbClr val="70AD47"/>
              </a:solidFill>
              <a:ln w="9525">
                <a:solidFill>
                  <a:srgbClr val="70AD47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PLA!$B$29:$B$33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PLA!$I$29:$I$33</c:f>
              <c:numCache>
                <c:formatCode>0.00</c:formatCode>
                <c:ptCount val="5"/>
                <c:pt idx="0">
                  <c:v>49.5</c:v>
                </c:pt>
                <c:pt idx="1">
                  <c:v>46.2</c:v>
                </c:pt>
                <c:pt idx="2">
                  <c:v>42</c:v>
                </c:pt>
                <c:pt idx="3">
                  <c:v>52.6</c:v>
                </c:pt>
                <c:pt idx="4">
                  <c:v>33.5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1D-4F27-BD2F-A9A9EDD90C92}"/>
            </c:ext>
          </c:extLst>
        </c:ser>
        <c:ser>
          <c:idx val="4"/>
          <c:order val="4"/>
          <c:tx>
            <c:v>Tørr 20 °C</c:v>
          </c:tx>
          <c:spPr>
            <a:ln w="12700" cap="rnd">
              <a:solidFill>
                <a:srgbClr val="1F4E79"/>
              </a:solidFill>
              <a:prstDash val="solid"/>
              <a:round/>
            </a:ln>
            <a:effectLst/>
          </c:spPr>
          <c:marker>
            <c:symbol val="square"/>
            <c:size val="5"/>
            <c:spPr>
              <a:solidFill>
                <a:srgbClr val="1F4E79"/>
              </a:solidFill>
              <a:ln w="9525">
                <a:solidFill>
                  <a:srgbClr val="1F4E79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PLA!$B$5:$B$9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PLA!$U$5:$U$9</c:f>
              <c:numCache>
                <c:formatCode>0.00</c:formatCode>
                <c:ptCount val="5"/>
                <c:pt idx="0">
                  <c:v>49.5</c:v>
                </c:pt>
                <c:pt idx="1">
                  <c:v>50.9</c:v>
                </c:pt>
                <c:pt idx="2">
                  <c:v>49.1</c:v>
                </c:pt>
                <c:pt idx="3">
                  <c:v>49.3</c:v>
                </c:pt>
                <c:pt idx="4">
                  <c:v>41.5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1D-4F27-BD2F-A9A9EDD90C92}"/>
            </c:ext>
          </c:extLst>
        </c:ser>
        <c:ser>
          <c:idx val="5"/>
          <c:order val="5"/>
          <c:tx>
            <c:v>Våt 20 °C</c:v>
          </c:tx>
          <c:spPr>
            <a:ln w="12700" cap="rnd">
              <a:solidFill>
                <a:srgbClr val="5B9BD5"/>
              </a:solidFill>
              <a:prstDash val="lgDash"/>
              <a:round/>
            </a:ln>
            <a:effectLst/>
          </c:spPr>
          <c:marker>
            <c:symbol val="square"/>
            <c:size val="5"/>
            <c:spPr>
              <a:solidFill>
                <a:srgbClr val="5B9BD5"/>
              </a:solidFill>
              <a:ln w="9525">
                <a:solidFill>
                  <a:srgbClr val="5B9BD5"/>
                </a:solidFill>
                <a:prstDash val="solid"/>
              </a:ln>
              <a:effectLst/>
            </c:spPr>
          </c:marker>
          <c:dPt>
            <c:idx val="1"/>
            <c:marker>
              <c:symbol val="square"/>
              <c:size val="5"/>
              <c:spPr>
                <a:solidFill>
                  <a:srgbClr val="5B9BD5"/>
                </a:solidFill>
                <a:ln w="9525">
                  <a:solidFill>
                    <a:srgbClr val="5B9BD5"/>
                  </a:solidFill>
                  <a:prstDash val="solid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6C1D-4F27-BD2F-A9A9EDD90C92}"/>
              </c:ext>
            </c:extLst>
          </c:dPt>
          <c:dPt>
            <c:idx val="2"/>
            <c:marker>
              <c:symbol val="square"/>
              <c:size val="5"/>
              <c:spPr>
                <a:solidFill>
                  <a:srgbClr val="5B9BD5"/>
                </a:solidFill>
                <a:ln w="9525">
                  <a:solidFill>
                    <a:srgbClr val="5B9BD5"/>
                  </a:solidFill>
                  <a:prstDash val="solid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6C1D-4F27-BD2F-A9A9EDD90C92}"/>
              </c:ext>
            </c:extLst>
          </c:dPt>
          <c:errBars>
            <c:errDir val="y"/>
            <c:errBarType val="both"/>
            <c:errValType val="cust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PLA!$B$5:$B$9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PLA!$I$5:$I$9</c:f>
              <c:numCache>
                <c:formatCode>0.00</c:formatCode>
                <c:ptCount val="5"/>
                <c:pt idx="0">
                  <c:v>49.5</c:v>
                </c:pt>
                <c:pt idx="1">
                  <c:v>46.9</c:v>
                </c:pt>
                <c:pt idx="2">
                  <c:v>42.6</c:v>
                </c:pt>
                <c:pt idx="3">
                  <c:v>49.7</c:v>
                </c:pt>
                <c:pt idx="4">
                  <c:v>32.700000000000003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1D-4F27-BD2F-A9A9EDD90C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0350527"/>
        <c:axId val="1870351007"/>
      </c:scatterChart>
      <c:valAx>
        <c:axId val="1870350527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Uke</a:t>
                </a:r>
              </a:p>
            </c:rich>
          </c:tx>
          <c:overlay val="0"/>
          <c:spPr>
            <a:noFill/>
            <a:ln w="6350"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351007"/>
        <c:crosses val="autoZero"/>
        <c:crossBetween val="midCat"/>
        <c:majorUnit val="3"/>
      </c:valAx>
      <c:valAx>
        <c:axId val="1870351007"/>
        <c:scaling>
          <c:orientation val="minMax"/>
          <c:max val="6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Strekkfasthet [MPa]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350527"/>
        <c:crosses val="autoZero"/>
        <c:crossBetween val="midCat"/>
        <c:majorUnit val="10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Elastisitetsmodul mot uke (PLA 20–40–60 °C)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Tørr 60 °C</c:v>
          </c:tx>
          <c:spPr>
            <a:ln w="12700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diamond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PLA!$B$53:$B$57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PLA!$O$53:$O$57</c:f>
              <c:numCache>
                <c:formatCode>0.00</c:formatCode>
                <c:ptCount val="5"/>
                <c:pt idx="0">
                  <c:v>1460</c:v>
                </c:pt>
                <c:pt idx="1">
                  <c:v>815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B7-442B-92CD-BF28B74F41B5}"/>
            </c:ext>
          </c:extLst>
        </c:ser>
        <c:ser>
          <c:idx val="1"/>
          <c:order val="1"/>
          <c:tx>
            <c:v>Våt 60 °C</c:v>
          </c:tx>
          <c:spPr>
            <a:ln w="12700" cap="rnd">
              <a:solidFill>
                <a:srgbClr val="FF4040"/>
              </a:solidFill>
              <a:prstDash val="lgDash"/>
              <a:round/>
            </a:ln>
            <a:effectLst/>
          </c:spPr>
          <c:marker>
            <c:symbol val="diamond"/>
            <c:size val="5"/>
            <c:spPr>
              <a:solidFill>
                <a:srgbClr val="FF4040"/>
              </a:solidFill>
              <a:ln w="9525">
                <a:solidFill>
                  <a:srgbClr val="FF4040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PLA!$B$53:$B$57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PLA!$C$53:$C$57</c:f>
              <c:numCache>
                <c:formatCode>0.00</c:formatCode>
                <c:ptCount val="5"/>
                <c:pt idx="0">
                  <c:v>1460</c:v>
                </c:pt>
                <c:pt idx="1">
                  <c:v>1310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DB7-442B-92CD-BF28B74F41B5}"/>
            </c:ext>
          </c:extLst>
        </c:ser>
        <c:ser>
          <c:idx val="2"/>
          <c:order val="2"/>
          <c:tx>
            <c:v>Tørr 40 °C</c:v>
          </c:tx>
          <c:spPr>
            <a:ln w="12700" cap="rnd">
              <a:solidFill>
                <a:srgbClr val="375623"/>
              </a:solidFill>
              <a:prstDash val="solid"/>
              <a:round/>
            </a:ln>
            <a:effectLst/>
          </c:spPr>
          <c:marker>
            <c:symbol val="triangle"/>
            <c:size val="5"/>
            <c:spPr>
              <a:solidFill>
                <a:srgbClr val="375623"/>
              </a:solidFill>
              <a:ln w="9525">
                <a:solidFill>
                  <a:srgbClr val="375623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PLA!$B$29:$B$33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PLA!$O$29:$O$33</c:f>
              <c:numCache>
                <c:formatCode>0.00</c:formatCode>
                <c:ptCount val="5"/>
                <c:pt idx="0">
                  <c:v>1460</c:v>
                </c:pt>
                <c:pt idx="1">
                  <c:v>830</c:v>
                </c:pt>
                <c:pt idx="2">
                  <c:v>1070</c:v>
                </c:pt>
                <c:pt idx="3">
                  <c:v>1320</c:v>
                </c:pt>
                <c:pt idx="4">
                  <c:v>720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DB7-442B-92CD-BF28B74F41B5}"/>
            </c:ext>
          </c:extLst>
        </c:ser>
        <c:ser>
          <c:idx val="3"/>
          <c:order val="3"/>
          <c:tx>
            <c:v>Våt 40 °C</c:v>
          </c:tx>
          <c:spPr>
            <a:ln w="12700" cap="rnd">
              <a:solidFill>
                <a:srgbClr val="70AD47"/>
              </a:solidFill>
              <a:prstDash val="lgDash"/>
              <a:round/>
            </a:ln>
            <a:effectLst/>
          </c:spPr>
          <c:marker>
            <c:symbol val="triangle"/>
            <c:size val="5"/>
            <c:spPr>
              <a:solidFill>
                <a:srgbClr val="70AD47"/>
              </a:solidFill>
              <a:ln w="9525">
                <a:solidFill>
                  <a:srgbClr val="70AD47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PLA!$B$29:$B$33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PLA!$C$29:$C$33</c:f>
              <c:numCache>
                <c:formatCode>0.00</c:formatCode>
                <c:ptCount val="5"/>
                <c:pt idx="0">
                  <c:v>1460</c:v>
                </c:pt>
                <c:pt idx="1">
                  <c:v>710</c:v>
                </c:pt>
                <c:pt idx="2">
                  <c:v>1100</c:v>
                </c:pt>
                <c:pt idx="3">
                  <c:v>1280</c:v>
                </c:pt>
                <c:pt idx="4">
                  <c:v>862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DB7-442B-92CD-BF28B74F41B5}"/>
            </c:ext>
          </c:extLst>
        </c:ser>
        <c:ser>
          <c:idx val="4"/>
          <c:order val="4"/>
          <c:tx>
            <c:v>Tørr 20 °C</c:v>
          </c:tx>
          <c:spPr>
            <a:ln w="12700" cap="rnd">
              <a:solidFill>
                <a:srgbClr val="1F4E79"/>
              </a:solidFill>
              <a:prstDash val="solid"/>
              <a:round/>
            </a:ln>
            <a:effectLst/>
          </c:spPr>
          <c:marker>
            <c:symbol val="square"/>
            <c:size val="5"/>
            <c:spPr>
              <a:solidFill>
                <a:srgbClr val="1F4E79"/>
              </a:solidFill>
              <a:ln w="9525">
                <a:solidFill>
                  <a:srgbClr val="1F4E79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PLA!$B$5:$B$9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PLA!$O$5:$O$9</c:f>
              <c:numCache>
                <c:formatCode>0.00</c:formatCode>
                <c:ptCount val="5"/>
                <c:pt idx="0">
                  <c:v>1460</c:v>
                </c:pt>
                <c:pt idx="1">
                  <c:v>669</c:v>
                </c:pt>
                <c:pt idx="2">
                  <c:v>1100</c:v>
                </c:pt>
                <c:pt idx="3">
                  <c:v>1350</c:v>
                </c:pt>
                <c:pt idx="4">
                  <c:v>1060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DB7-442B-92CD-BF28B74F41B5}"/>
            </c:ext>
          </c:extLst>
        </c:ser>
        <c:ser>
          <c:idx val="5"/>
          <c:order val="5"/>
          <c:tx>
            <c:v>Våt 20 °C</c:v>
          </c:tx>
          <c:spPr>
            <a:ln w="12700" cap="rnd">
              <a:solidFill>
                <a:srgbClr val="5B9BD5"/>
              </a:solidFill>
              <a:prstDash val="lgDash"/>
              <a:round/>
            </a:ln>
            <a:effectLst/>
          </c:spPr>
          <c:marker>
            <c:symbol val="square"/>
            <c:size val="5"/>
            <c:spPr>
              <a:solidFill>
                <a:srgbClr val="5B9BD5"/>
              </a:solidFill>
              <a:ln w="9525">
                <a:solidFill>
                  <a:srgbClr val="5B9BD5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PLA!$B$5:$B$9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PLA!$C$5:$C$9</c:f>
              <c:numCache>
                <c:formatCode>0.00</c:formatCode>
                <c:ptCount val="5"/>
                <c:pt idx="0">
                  <c:v>1460</c:v>
                </c:pt>
                <c:pt idx="1">
                  <c:v>1130</c:v>
                </c:pt>
                <c:pt idx="2">
                  <c:v>1150</c:v>
                </c:pt>
                <c:pt idx="3">
                  <c:v>1130</c:v>
                </c:pt>
                <c:pt idx="4">
                  <c:v>1010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DB7-442B-92CD-BF28B74F41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051327"/>
        <c:axId val="22051807"/>
      </c:scatterChart>
      <c:valAx>
        <c:axId val="22051327"/>
        <c:scaling>
          <c:orientation val="minMax"/>
          <c:max val="1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Uke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51807"/>
        <c:crosses val="autoZero"/>
        <c:crossBetween val="midCat"/>
        <c:majorUnit val="3"/>
      </c:valAx>
      <c:valAx>
        <c:axId val="22051807"/>
        <c:scaling>
          <c:orientation val="minMax"/>
          <c:max val="16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Elastisitetsmodul [MPa]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513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Flytespenning mot uke (PLA 20–40–60 °C)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Tørr 60 °C</c:v>
          </c:tx>
          <c:spPr>
            <a:ln w="12700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diamond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PLA!$B$53:$B$57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PLA!$R$53:$R$57</c:f>
              <c:numCache>
                <c:formatCode>0.00</c:formatCode>
                <c:ptCount val="5"/>
                <c:pt idx="0">
                  <c:v>15</c:v>
                </c:pt>
                <c:pt idx="1">
                  <c:v>12.9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3F-4673-B903-9958FDEA270C}"/>
            </c:ext>
          </c:extLst>
        </c:ser>
        <c:ser>
          <c:idx val="1"/>
          <c:order val="1"/>
          <c:tx>
            <c:v>Våt 60 °C</c:v>
          </c:tx>
          <c:spPr>
            <a:ln w="12700" cap="rnd">
              <a:solidFill>
                <a:srgbClr val="FF4040"/>
              </a:solidFill>
              <a:prstDash val="lgDash"/>
              <a:round/>
            </a:ln>
            <a:effectLst/>
          </c:spPr>
          <c:marker>
            <c:symbol val="diamond"/>
            <c:size val="5"/>
            <c:spPr>
              <a:solidFill>
                <a:srgbClr val="FF4040"/>
              </a:solidFill>
              <a:ln w="9525">
                <a:solidFill>
                  <a:srgbClr val="FF4040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PLA!$B$53:$B$57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PLA!$F$53:$F$57</c:f>
              <c:numCache>
                <c:formatCode>0.00</c:formatCode>
                <c:ptCount val="5"/>
                <c:pt idx="0">
                  <c:v>15</c:v>
                </c:pt>
                <c:pt idx="1">
                  <c:v>15.8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33F-4673-B903-9958FDEA270C}"/>
            </c:ext>
          </c:extLst>
        </c:ser>
        <c:ser>
          <c:idx val="2"/>
          <c:order val="2"/>
          <c:tx>
            <c:v>Tørr 40 °C</c:v>
          </c:tx>
          <c:spPr>
            <a:ln w="12700" cap="rnd">
              <a:solidFill>
                <a:srgbClr val="375623"/>
              </a:solidFill>
              <a:prstDash val="solid"/>
              <a:round/>
            </a:ln>
            <a:effectLst/>
          </c:spPr>
          <c:marker>
            <c:symbol val="triangle"/>
            <c:size val="5"/>
            <c:spPr>
              <a:solidFill>
                <a:srgbClr val="375623"/>
              </a:solidFill>
              <a:ln w="9525">
                <a:solidFill>
                  <a:srgbClr val="375623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PLA!$B$29:$B$33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PLA!$R$29:$R$33</c:f>
              <c:numCache>
                <c:formatCode>0.00</c:formatCode>
                <c:ptCount val="5"/>
                <c:pt idx="0">
                  <c:v>15</c:v>
                </c:pt>
                <c:pt idx="1">
                  <c:v>16</c:v>
                </c:pt>
                <c:pt idx="2">
                  <c:v>13</c:v>
                </c:pt>
                <c:pt idx="3">
                  <c:v>15.5</c:v>
                </c:pt>
                <c:pt idx="4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33F-4673-B903-9958FDEA270C}"/>
            </c:ext>
          </c:extLst>
        </c:ser>
        <c:ser>
          <c:idx val="3"/>
          <c:order val="3"/>
          <c:tx>
            <c:v>Våt 40 °C</c:v>
          </c:tx>
          <c:spPr>
            <a:ln w="12700" cap="rnd">
              <a:solidFill>
                <a:srgbClr val="70AD47"/>
              </a:solidFill>
              <a:prstDash val="lgDash"/>
              <a:round/>
            </a:ln>
            <a:effectLst/>
          </c:spPr>
          <c:marker>
            <c:symbol val="triangle"/>
            <c:size val="5"/>
            <c:spPr>
              <a:solidFill>
                <a:srgbClr val="70AD47"/>
              </a:solidFill>
              <a:ln w="9525">
                <a:solidFill>
                  <a:srgbClr val="70AD47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PLA!$B$29:$B$33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PLA!$F$29:$F$33</c:f>
              <c:numCache>
                <c:formatCode>0.00</c:formatCode>
                <c:ptCount val="5"/>
                <c:pt idx="0">
                  <c:v>15</c:v>
                </c:pt>
                <c:pt idx="1">
                  <c:v>16.600000000000001</c:v>
                </c:pt>
                <c:pt idx="2">
                  <c:v>17.7</c:v>
                </c:pt>
                <c:pt idx="3">
                  <c:v>19.3</c:v>
                </c:pt>
                <c:pt idx="4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33F-4673-B903-9958FDEA270C}"/>
            </c:ext>
          </c:extLst>
        </c:ser>
        <c:ser>
          <c:idx val="4"/>
          <c:order val="4"/>
          <c:tx>
            <c:v>Tørr 20 °C</c:v>
          </c:tx>
          <c:spPr>
            <a:ln w="12700" cap="rnd">
              <a:solidFill>
                <a:srgbClr val="1F4E79"/>
              </a:solidFill>
              <a:prstDash val="solid"/>
              <a:round/>
            </a:ln>
            <a:effectLst/>
          </c:spPr>
          <c:marker>
            <c:symbol val="square"/>
            <c:size val="5"/>
            <c:spPr>
              <a:solidFill>
                <a:srgbClr val="1F4E79"/>
              </a:solidFill>
              <a:ln w="9525">
                <a:solidFill>
                  <a:srgbClr val="1F4E79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PLA!$B$5:$B$9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PLA!$R$5:$R$9</c:f>
              <c:numCache>
                <c:formatCode>0.00</c:formatCode>
                <c:ptCount val="5"/>
                <c:pt idx="0">
                  <c:v>15</c:v>
                </c:pt>
                <c:pt idx="1">
                  <c:v>17.2</c:v>
                </c:pt>
                <c:pt idx="2">
                  <c:v>14.5</c:v>
                </c:pt>
                <c:pt idx="3">
                  <c:v>17.600000000000001</c:v>
                </c:pt>
                <c:pt idx="4">
                  <c:v>12.1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33F-4673-B903-9958FDEA270C}"/>
            </c:ext>
          </c:extLst>
        </c:ser>
        <c:ser>
          <c:idx val="5"/>
          <c:order val="5"/>
          <c:tx>
            <c:v>Våt 20 °C</c:v>
          </c:tx>
          <c:spPr>
            <a:ln w="12700" cap="rnd">
              <a:solidFill>
                <a:srgbClr val="5B9BD5"/>
              </a:solidFill>
              <a:prstDash val="lgDash"/>
              <a:round/>
            </a:ln>
            <a:effectLst/>
          </c:spPr>
          <c:marker>
            <c:symbol val="square"/>
            <c:size val="5"/>
            <c:spPr>
              <a:solidFill>
                <a:srgbClr val="5B9BD5"/>
              </a:solidFill>
              <a:ln w="9525">
                <a:solidFill>
                  <a:srgbClr val="5B9BD5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PLA!$B$5:$B$9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PLA!$F$5:$F$9</c:f>
              <c:numCache>
                <c:formatCode>0.00</c:formatCode>
                <c:ptCount val="5"/>
                <c:pt idx="0">
                  <c:v>15</c:v>
                </c:pt>
                <c:pt idx="1">
                  <c:v>16.399999999999999</c:v>
                </c:pt>
                <c:pt idx="2">
                  <c:v>11.6</c:v>
                </c:pt>
                <c:pt idx="3">
                  <c:v>17.5</c:v>
                </c:pt>
                <c:pt idx="4">
                  <c:v>5.3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33F-4673-B903-9958FDEA27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2794127"/>
        <c:axId val="372791727"/>
      </c:scatterChart>
      <c:valAx>
        <c:axId val="372794127"/>
        <c:scaling>
          <c:orientation val="minMax"/>
          <c:max val="1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Uke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791727"/>
        <c:crosses val="autoZero"/>
        <c:crossBetween val="midCat"/>
        <c:majorUnit val="3"/>
      </c:valAx>
      <c:valAx>
        <c:axId val="372791727"/>
        <c:scaling>
          <c:orientation val="minMax"/>
          <c:max val="4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Flytegrense (0,2%) [MPa]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7941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Tøyning mot uke (PLA 20–40–60 °C)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Tørr 60 °C</c:v>
          </c:tx>
          <c:spPr>
            <a:ln w="12700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diamond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PLA!$B$53:$B$57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PLA!$X$53:$X$57</c:f>
              <c:numCache>
                <c:formatCode>0.00</c:formatCode>
                <c:ptCount val="5"/>
                <c:pt idx="0">
                  <c:v>12.3</c:v>
                </c:pt>
                <c:pt idx="1">
                  <c:v>7.43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67C-44DC-8229-FC4603AE6D5F}"/>
            </c:ext>
          </c:extLst>
        </c:ser>
        <c:ser>
          <c:idx val="1"/>
          <c:order val="1"/>
          <c:tx>
            <c:v>Våt 60 °C</c:v>
          </c:tx>
          <c:spPr>
            <a:ln w="12700" cap="rnd">
              <a:solidFill>
                <a:srgbClr val="FF4040"/>
              </a:solidFill>
              <a:prstDash val="lgDash"/>
              <a:round/>
            </a:ln>
            <a:effectLst/>
          </c:spPr>
          <c:marker>
            <c:symbol val="diamond"/>
            <c:size val="5"/>
            <c:spPr>
              <a:solidFill>
                <a:srgbClr val="FF4040"/>
              </a:solidFill>
              <a:ln w="9525">
                <a:solidFill>
                  <a:srgbClr val="FF4040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PLA!$B$53:$B$57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PLA!$L$53:$L$57</c:f>
              <c:numCache>
                <c:formatCode>0.00</c:formatCode>
                <c:ptCount val="5"/>
                <c:pt idx="0">
                  <c:v>12.3</c:v>
                </c:pt>
                <c:pt idx="1">
                  <c:v>9.1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67C-44DC-8229-FC4603AE6D5F}"/>
            </c:ext>
          </c:extLst>
        </c:ser>
        <c:ser>
          <c:idx val="2"/>
          <c:order val="2"/>
          <c:tx>
            <c:v>Tørr 40 °C</c:v>
          </c:tx>
          <c:spPr>
            <a:ln w="12700" cap="rnd">
              <a:solidFill>
                <a:srgbClr val="375623"/>
              </a:solidFill>
              <a:prstDash val="solid"/>
              <a:round/>
            </a:ln>
            <a:effectLst/>
          </c:spPr>
          <c:marker>
            <c:symbol val="triangle"/>
            <c:size val="5"/>
            <c:spPr>
              <a:solidFill>
                <a:srgbClr val="375623"/>
              </a:solidFill>
              <a:ln w="9525">
                <a:solidFill>
                  <a:srgbClr val="375623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PLA!$B$29:$B$33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PLA!$X$29:$X$33</c:f>
              <c:numCache>
                <c:formatCode>0.00</c:formatCode>
                <c:ptCount val="5"/>
                <c:pt idx="0">
                  <c:v>12.3</c:v>
                </c:pt>
                <c:pt idx="1">
                  <c:v>30.4</c:v>
                </c:pt>
                <c:pt idx="2">
                  <c:v>26</c:v>
                </c:pt>
                <c:pt idx="3">
                  <c:v>35.799999999999997</c:v>
                </c:pt>
                <c:pt idx="4">
                  <c:v>18.5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67C-44DC-8229-FC4603AE6D5F}"/>
            </c:ext>
          </c:extLst>
        </c:ser>
        <c:ser>
          <c:idx val="3"/>
          <c:order val="3"/>
          <c:tx>
            <c:v>Våt 40 °C</c:v>
          </c:tx>
          <c:spPr>
            <a:ln w="12700" cap="rnd">
              <a:solidFill>
                <a:srgbClr val="70AD47"/>
              </a:solidFill>
              <a:prstDash val="lgDash"/>
              <a:round/>
            </a:ln>
            <a:effectLst/>
          </c:spPr>
          <c:marker>
            <c:symbol val="triangle"/>
            <c:size val="5"/>
            <c:spPr>
              <a:solidFill>
                <a:srgbClr val="70AD47"/>
              </a:solidFill>
              <a:ln w="9525">
                <a:solidFill>
                  <a:srgbClr val="70AD47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PLA!$B$29:$B$33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PLA!$L$29:$L$33</c:f>
              <c:numCache>
                <c:formatCode>0.00</c:formatCode>
                <c:ptCount val="5"/>
                <c:pt idx="0">
                  <c:v>12.3</c:v>
                </c:pt>
                <c:pt idx="1">
                  <c:v>42.1</c:v>
                </c:pt>
                <c:pt idx="2">
                  <c:v>34.4</c:v>
                </c:pt>
                <c:pt idx="3">
                  <c:v>24.1</c:v>
                </c:pt>
                <c:pt idx="4">
                  <c:v>17.7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67C-44DC-8229-FC4603AE6D5F}"/>
            </c:ext>
          </c:extLst>
        </c:ser>
        <c:ser>
          <c:idx val="4"/>
          <c:order val="4"/>
          <c:tx>
            <c:v>Tørr 20 °C</c:v>
          </c:tx>
          <c:spPr>
            <a:ln w="12700" cap="rnd">
              <a:solidFill>
                <a:srgbClr val="1F4E79"/>
              </a:solidFill>
              <a:prstDash val="solid"/>
              <a:round/>
            </a:ln>
            <a:effectLst/>
          </c:spPr>
          <c:marker>
            <c:symbol val="square"/>
            <c:size val="5"/>
            <c:spPr>
              <a:solidFill>
                <a:srgbClr val="1F4E79"/>
              </a:solidFill>
              <a:ln w="9525">
                <a:solidFill>
                  <a:srgbClr val="1F4E79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PLA!$B$5:$B$9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PLA!$X$5:$X$9</c:f>
              <c:numCache>
                <c:formatCode>0.00</c:formatCode>
                <c:ptCount val="5"/>
                <c:pt idx="0">
                  <c:v>12.3</c:v>
                </c:pt>
                <c:pt idx="1">
                  <c:v>15</c:v>
                </c:pt>
                <c:pt idx="2">
                  <c:v>14.9</c:v>
                </c:pt>
                <c:pt idx="3">
                  <c:v>33.1</c:v>
                </c:pt>
                <c:pt idx="4">
                  <c:v>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67C-44DC-8229-FC4603AE6D5F}"/>
            </c:ext>
          </c:extLst>
        </c:ser>
        <c:ser>
          <c:idx val="5"/>
          <c:order val="5"/>
          <c:tx>
            <c:v>Våt 20 °C</c:v>
          </c:tx>
          <c:spPr>
            <a:ln w="12700" cap="rnd">
              <a:solidFill>
                <a:srgbClr val="5B9BD5"/>
              </a:solidFill>
              <a:prstDash val="lgDash"/>
              <a:round/>
            </a:ln>
            <a:effectLst/>
          </c:spPr>
          <c:marker>
            <c:symbol val="square"/>
            <c:size val="5"/>
            <c:spPr>
              <a:solidFill>
                <a:srgbClr val="5B9BD5"/>
              </a:solidFill>
              <a:ln w="9525">
                <a:solidFill>
                  <a:srgbClr val="5B9BD5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PLA!$B$5:$B$9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PLA!$L$5:$L$9</c:f>
              <c:numCache>
                <c:formatCode>0.00</c:formatCode>
                <c:ptCount val="5"/>
                <c:pt idx="0">
                  <c:v>12.3</c:v>
                </c:pt>
                <c:pt idx="1">
                  <c:v>24.1</c:v>
                </c:pt>
                <c:pt idx="2">
                  <c:v>37.200000000000003</c:v>
                </c:pt>
                <c:pt idx="3">
                  <c:v>28.4</c:v>
                </c:pt>
                <c:pt idx="4">
                  <c:v>30.5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67C-44DC-8229-FC4603AE6D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2795087"/>
        <c:axId val="372796047"/>
      </c:scatterChart>
      <c:valAx>
        <c:axId val="372795087"/>
        <c:scaling>
          <c:orientation val="minMax"/>
          <c:max val="1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Uke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796047"/>
        <c:crosses val="autoZero"/>
        <c:crossBetween val="midCat"/>
        <c:majorUnit val="3"/>
      </c:valAx>
      <c:valAx>
        <c:axId val="372796047"/>
        <c:scaling>
          <c:orientation val="minMax"/>
          <c:max val="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Tøyning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7950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Elastisitetsmodul mot uke (PETG 20 °C)</a:t>
            </a:r>
          </a:p>
        </c:rich>
      </c:tx>
      <c:layout>
        <c:manualLayout>
          <c:xMode val="edge"/>
          <c:yMode val="edge"/>
          <c:x val="0.30171110455573458"/>
          <c:y val="4.05092592592592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Tørr</c:v>
          </c:tx>
          <c:spPr>
            <a:ln w="12700" cap="rnd">
              <a:solidFill>
                <a:srgbClr val="1F4E79"/>
              </a:solidFill>
              <a:prstDash val="solid"/>
              <a:round/>
            </a:ln>
            <a:effectLst/>
          </c:spPr>
          <c:marker>
            <c:symbol val="square"/>
            <c:size val="5"/>
            <c:spPr>
              <a:solidFill>
                <a:srgbClr val="1F4E79"/>
              </a:solidFill>
              <a:ln w="9525">
                <a:solidFill>
                  <a:srgbClr val="1F4E79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PETG!$P$4:$P$8</c:f>
                <c:numCache>
                  <c:formatCode>General</c:formatCode>
                  <c:ptCount val="5"/>
                  <c:pt idx="0">
                    <c:v>7.45</c:v>
                  </c:pt>
                  <c:pt idx="1">
                    <c:v>63</c:v>
                  </c:pt>
                  <c:pt idx="2">
                    <c:v>3.96</c:v>
                  </c:pt>
                  <c:pt idx="3">
                    <c:v>10.85</c:v>
                  </c:pt>
                  <c:pt idx="4">
                    <c:v>16.75</c:v>
                  </c:pt>
                </c:numCache>
              </c:numRef>
            </c:plus>
            <c:minus>
              <c:numRef>
                <c:f>PETG!$P$4:$P$8</c:f>
                <c:numCache>
                  <c:formatCode>General</c:formatCode>
                  <c:ptCount val="5"/>
                  <c:pt idx="0">
                    <c:v>7.45</c:v>
                  </c:pt>
                  <c:pt idx="1">
                    <c:v>63</c:v>
                  </c:pt>
                  <c:pt idx="2">
                    <c:v>3.96</c:v>
                  </c:pt>
                  <c:pt idx="3">
                    <c:v>10.85</c:v>
                  </c:pt>
                  <c:pt idx="4">
                    <c:v>16.75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PETG!$A$4:$A$8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PETG!$N$4:$N$8</c:f>
              <c:numCache>
                <c:formatCode>0.00</c:formatCode>
                <c:ptCount val="5"/>
                <c:pt idx="0">
                  <c:v>862</c:v>
                </c:pt>
                <c:pt idx="1">
                  <c:v>645</c:v>
                </c:pt>
                <c:pt idx="2">
                  <c:v>820</c:v>
                </c:pt>
                <c:pt idx="3">
                  <c:v>863</c:v>
                </c:pt>
                <c:pt idx="4">
                  <c:v>511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D1-4838-8E2E-94126838EB69}"/>
            </c:ext>
          </c:extLst>
        </c:ser>
        <c:ser>
          <c:idx val="1"/>
          <c:order val="1"/>
          <c:tx>
            <c:v>Våt</c:v>
          </c:tx>
          <c:spPr>
            <a:ln w="12700" cap="rnd">
              <a:solidFill>
                <a:srgbClr val="5B9BD5"/>
              </a:solidFill>
              <a:prstDash val="lgDash"/>
              <a:round/>
            </a:ln>
            <a:effectLst/>
          </c:spPr>
          <c:marker>
            <c:symbol val="square"/>
            <c:size val="5"/>
            <c:spPr>
              <a:solidFill>
                <a:srgbClr val="5B9BD5"/>
              </a:solidFill>
              <a:ln w="9525">
                <a:solidFill>
                  <a:srgbClr val="5B9BD5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PETG!$D$4:$D$8</c:f>
                <c:numCache>
                  <c:formatCode>General</c:formatCode>
                  <c:ptCount val="5"/>
                  <c:pt idx="0">
                    <c:v>7.45</c:v>
                  </c:pt>
                  <c:pt idx="1">
                    <c:v>5.75</c:v>
                  </c:pt>
                  <c:pt idx="2">
                    <c:v>61.5</c:v>
                  </c:pt>
                  <c:pt idx="3">
                    <c:v>12.35</c:v>
                  </c:pt>
                  <c:pt idx="4">
                    <c:v>17.75</c:v>
                  </c:pt>
                </c:numCache>
              </c:numRef>
            </c:plus>
            <c:minus>
              <c:numRef>
                <c:f>PETG!$D$4:$D$8</c:f>
                <c:numCache>
                  <c:formatCode>General</c:formatCode>
                  <c:ptCount val="5"/>
                  <c:pt idx="0">
                    <c:v>7.45</c:v>
                  </c:pt>
                  <c:pt idx="1">
                    <c:v>5.75</c:v>
                  </c:pt>
                  <c:pt idx="2">
                    <c:v>61.5</c:v>
                  </c:pt>
                  <c:pt idx="3">
                    <c:v>12.35</c:v>
                  </c:pt>
                  <c:pt idx="4">
                    <c:v>17.75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PETG!$A$4:$A$8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PETG!$B$4:$B$8</c:f>
              <c:numCache>
                <c:formatCode>0.00</c:formatCode>
                <c:ptCount val="5"/>
                <c:pt idx="0">
                  <c:v>862</c:v>
                </c:pt>
                <c:pt idx="1">
                  <c:v>771</c:v>
                </c:pt>
                <c:pt idx="2">
                  <c:v>895</c:v>
                </c:pt>
                <c:pt idx="3">
                  <c:v>827</c:v>
                </c:pt>
                <c:pt idx="4">
                  <c:v>485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2D1-4838-8E2E-94126838EB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0350527"/>
        <c:axId val="1870351007"/>
      </c:scatterChart>
      <c:valAx>
        <c:axId val="1870350527"/>
        <c:scaling>
          <c:orientation val="minMax"/>
          <c:max val="1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Uke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351007"/>
        <c:crosses val="autoZero"/>
        <c:crossBetween val="midCat"/>
        <c:majorUnit val="3"/>
      </c:valAx>
      <c:valAx>
        <c:axId val="1870351007"/>
        <c:scaling>
          <c:orientation val="minMax"/>
          <c:max val="16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Elastisitetsmodul [MPa]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3505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dbl" algn="ctr">
      <a:solidFill>
        <a:schemeClr val="tx1">
          <a:tint val="75000"/>
        </a:schemeClr>
      </a:solidFill>
      <a:prstDash val="sysDash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Flytespenning mot uke (PETG 20 °C)</a:t>
            </a:r>
          </a:p>
        </c:rich>
      </c:tx>
      <c:layout>
        <c:manualLayout>
          <c:xMode val="edge"/>
          <c:yMode val="edge"/>
          <c:x val="0.3852845581802275"/>
          <c:y val="3.703703703703703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Tørr</c:v>
          </c:tx>
          <c:spPr>
            <a:ln w="12700">
              <a:solidFill>
                <a:srgbClr val="1F4E79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1F4E79"/>
              </a:solidFill>
              <a:ln>
                <a:solidFill>
                  <a:srgbClr val="1F4E79"/>
                </a:solidFill>
                <a:prstDash val="solid"/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PETG!$S$4:$S$8</c:f>
                <c:numCache>
                  <c:formatCode>General</c:formatCode>
                  <c:ptCount val="5"/>
                  <c:pt idx="0">
                    <c:v>0.51500000000000001</c:v>
                  </c:pt>
                  <c:pt idx="1">
                    <c:v>1.54</c:v>
                  </c:pt>
                  <c:pt idx="2">
                    <c:v>1.0349999999999999</c:v>
                  </c:pt>
                  <c:pt idx="3">
                    <c:v>0.26350000000000001</c:v>
                  </c:pt>
                  <c:pt idx="4">
                    <c:v>0.34</c:v>
                  </c:pt>
                </c:numCache>
              </c:numRef>
            </c:plus>
            <c:minus>
              <c:numRef>
                <c:f>PETG!$S$4:$S$8</c:f>
                <c:numCache>
                  <c:formatCode>General</c:formatCode>
                  <c:ptCount val="5"/>
                  <c:pt idx="0">
                    <c:v>0.51500000000000001</c:v>
                  </c:pt>
                  <c:pt idx="1">
                    <c:v>1.54</c:v>
                  </c:pt>
                  <c:pt idx="2">
                    <c:v>1.0349999999999999</c:v>
                  </c:pt>
                  <c:pt idx="3">
                    <c:v>0.26350000000000001</c:v>
                  </c:pt>
                  <c:pt idx="4">
                    <c:v>0.34</c:v>
                  </c:pt>
                </c:numCache>
              </c:numRef>
            </c:minus>
          </c:errBars>
          <c:xVal>
            <c:numRef>
              <c:f>PETG!$A$4:$A$8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PETG!$Q$4:$Q$8</c:f>
              <c:numCache>
                <c:formatCode>0.00</c:formatCode>
                <c:ptCount val="5"/>
                <c:pt idx="0">
                  <c:v>16.3</c:v>
                </c:pt>
                <c:pt idx="1">
                  <c:v>14.4</c:v>
                </c:pt>
                <c:pt idx="2">
                  <c:v>15.3</c:v>
                </c:pt>
                <c:pt idx="3">
                  <c:v>16.7</c:v>
                </c:pt>
                <c:pt idx="4">
                  <c:v>6.95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51-49EF-B109-4EC4E2BD37C1}"/>
            </c:ext>
          </c:extLst>
        </c:ser>
        <c:ser>
          <c:idx val="1"/>
          <c:order val="1"/>
          <c:tx>
            <c:v>Våt</c:v>
          </c:tx>
          <c:spPr>
            <a:ln w="12700">
              <a:solidFill>
                <a:srgbClr val="5B9BD5"/>
              </a:solidFill>
              <a:prstDash val="lgDash"/>
            </a:ln>
          </c:spPr>
          <c:marker>
            <c:symbol val="square"/>
            <c:size val="5"/>
            <c:spPr>
              <a:solidFill>
                <a:srgbClr val="5B9BD5"/>
              </a:solidFill>
              <a:ln>
                <a:solidFill>
                  <a:srgbClr val="5B9BD5"/>
                </a:solidFill>
                <a:prstDash val="solid"/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PETG!$G$4:$G$8</c:f>
                <c:numCache>
                  <c:formatCode>General</c:formatCode>
                  <c:ptCount val="5"/>
                  <c:pt idx="0">
                    <c:v>0.51500000000000001</c:v>
                  </c:pt>
                  <c:pt idx="1">
                    <c:v>1.0149999999999999</c:v>
                  </c:pt>
                  <c:pt idx="2">
                    <c:v>1.7350000000000001</c:v>
                  </c:pt>
                  <c:pt idx="3">
                    <c:v>0.27150000000000002</c:v>
                  </c:pt>
                  <c:pt idx="4">
                    <c:v>0.14699999999999999</c:v>
                  </c:pt>
                </c:numCache>
              </c:numRef>
            </c:plus>
            <c:minus>
              <c:numRef>
                <c:f>PETG!$G$4:$G$8</c:f>
                <c:numCache>
                  <c:formatCode>General</c:formatCode>
                  <c:ptCount val="5"/>
                  <c:pt idx="0">
                    <c:v>0.51500000000000001</c:v>
                  </c:pt>
                  <c:pt idx="1">
                    <c:v>1.0149999999999999</c:v>
                  </c:pt>
                  <c:pt idx="2">
                    <c:v>1.7350000000000001</c:v>
                  </c:pt>
                  <c:pt idx="3">
                    <c:v>0.27150000000000002</c:v>
                  </c:pt>
                  <c:pt idx="4">
                    <c:v>0.14699999999999999</c:v>
                  </c:pt>
                </c:numCache>
              </c:numRef>
            </c:minus>
          </c:errBars>
          <c:xVal>
            <c:numRef>
              <c:f>PETG!$A$4:$A$8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PETG!$E$4:$E$8</c:f>
              <c:numCache>
                <c:formatCode>0.00</c:formatCode>
                <c:ptCount val="5"/>
                <c:pt idx="0">
                  <c:v>16.3</c:v>
                </c:pt>
                <c:pt idx="1">
                  <c:v>16.5</c:v>
                </c:pt>
                <c:pt idx="2">
                  <c:v>13.7</c:v>
                </c:pt>
                <c:pt idx="3">
                  <c:v>16.600000000000001</c:v>
                </c:pt>
                <c:pt idx="4">
                  <c:v>6.12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D51-49EF-B109-4EC4E2BD37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0350527"/>
        <c:axId val="1870351007"/>
      </c:scatterChart>
      <c:valAx>
        <c:axId val="1870350527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100" b="1"/>
                </a:pPr>
                <a:r>
                  <a:rPr lang="en-US"/>
                  <a:t>Uke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351007"/>
        <c:crosses val="autoZero"/>
        <c:crossBetween val="midCat"/>
        <c:majorUnit val="3"/>
      </c:valAx>
      <c:valAx>
        <c:axId val="1870351007"/>
        <c:scaling>
          <c:orientation val="minMax"/>
          <c:max val="4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100" b="1"/>
                </a:pPr>
                <a:r>
                  <a:rPr lang="en-US"/>
                  <a:t>Flytegrense (0,2%) [MPa]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350527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ln w="6350">
      <a:solidFill>
        <a:schemeClr val="tx1">
          <a:tint val="75000"/>
        </a:schemeClr>
      </a:solidFill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Strekkfasthet mot uke (PETG 20 °C)</a:t>
            </a:r>
          </a:p>
        </c:rich>
      </c:tx>
      <c:layout>
        <c:manualLayout>
          <c:xMode val="edge"/>
          <c:yMode val="edge"/>
          <c:x val="0.23478491114536609"/>
          <c:y val="3.70371866871828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Tørr</c:v>
          </c:tx>
          <c:spPr>
            <a:ln w="12700" cap="rnd">
              <a:solidFill>
                <a:srgbClr val="1F4E79"/>
              </a:solidFill>
              <a:prstDash val="solid"/>
              <a:round/>
            </a:ln>
            <a:effectLst/>
          </c:spPr>
          <c:marker>
            <c:symbol val="square"/>
            <c:size val="5"/>
            <c:spPr>
              <a:solidFill>
                <a:srgbClr val="1F4E79"/>
              </a:solidFill>
              <a:ln w="9525">
                <a:solidFill>
                  <a:srgbClr val="1F4E79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PETG!$V$4:$V$8</c:f>
                <c:numCache>
                  <c:formatCode>General</c:formatCode>
                  <c:ptCount val="5"/>
                  <c:pt idx="0">
                    <c:v>0.3175</c:v>
                  </c:pt>
                  <c:pt idx="1">
                    <c:v>0.54500000000000004</c:v>
                  </c:pt>
                  <c:pt idx="2">
                    <c:v>1.1499999999999999</c:v>
                  </c:pt>
                  <c:pt idx="3">
                    <c:v>0.8</c:v>
                  </c:pt>
                  <c:pt idx="4">
                    <c:v>0.71</c:v>
                  </c:pt>
                </c:numCache>
              </c:numRef>
            </c:plus>
            <c:minus>
              <c:numRef>
                <c:f>PETG!$V$4:$V$8</c:f>
                <c:numCache>
                  <c:formatCode>General</c:formatCode>
                  <c:ptCount val="5"/>
                  <c:pt idx="0">
                    <c:v>0.3175</c:v>
                  </c:pt>
                  <c:pt idx="1">
                    <c:v>0.54500000000000004</c:v>
                  </c:pt>
                  <c:pt idx="2">
                    <c:v>1.1499999999999999</c:v>
                  </c:pt>
                  <c:pt idx="3">
                    <c:v>0.8</c:v>
                  </c:pt>
                  <c:pt idx="4">
                    <c:v>0.71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PETG!$A$4:$A$8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PETG!$T$4:$T$8</c:f>
              <c:numCache>
                <c:formatCode>0.00</c:formatCode>
                <c:ptCount val="5"/>
                <c:pt idx="0">
                  <c:v>43</c:v>
                </c:pt>
                <c:pt idx="1">
                  <c:v>48</c:v>
                </c:pt>
                <c:pt idx="2">
                  <c:v>46.6</c:v>
                </c:pt>
                <c:pt idx="3">
                  <c:v>47.5</c:v>
                </c:pt>
                <c:pt idx="4">
                  <c:v>38.200000000000003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1C-454E-9668-657C191E3AAC}"/>
            </c:ext>
          </c:extLst>
        </c:ser>
        <c:ser>
          <c:idx val="1"/>
          <c:order val="1"/>
          <c:tx>
            <c:v>Våt</c:v>
          </c:tx>
          <c:spPr>
            <a:ln w="12700" cap="rnd">
              <a:solidFill>
                <a:srgbClr val="5B9BD5"/>
              </a:solidFill>
              <a:prstDash val="lgDash"/>
              <a:round/>
            </a:ln>
            <a:effectLst/>
          </c:spPr>
          <c:marker>
            <c:symbol val="square"/>
            <c:size val="5"/>
            <c:spPr>
              <a:solidFill>
                <a:srgbClr val="5B9BD5"/>
              </a:solidFill>
              <a:ln w="9525">
                <a:solidFill>
                  <a:srgbClr val="5B9BD5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PETG!$J$4:$J$8</c:f>
                <c:numCache>
                  <c:formatCode>General</c:formatCode>
                  <c:ptCount val="5"/>
                  <c:pt idx="0">
                    <c:v>0.3175</c:v>
                  </c:pt>
                  <c:pt idx="1">
                    <c:v>0.82</c:v>
                  </c:pt>
                  <c:pt idx="2">
                    <c:v>2.0249999999999999</c:v>
                  </c:pt>
                  <c:pt idx="3">
                    <c:v>1.2849999999999999</c:v>
                  </c:pt>
                  <c:pt idx="4">
                    <c:v>0.27950000000000003</c:v>
                  </c:pt>
                </c:numCache>
              </c:numRef>
            </c:plus>
            <c:minus>
              <c:numRef>
                <c:f>PETG!$J$4:$J$8</c:f>
                <c:numCache>
                  <c:formatCode>General</c:formatCode>
                  <c:ptCount val="5"/>
                  <c:pt idx="0">
                    <c:v>0.3175</c:v>
                  </c:pt>
                  <c:pt idx="1">
                    <c:v>0.82</c:v>
                  </c:pt>
                  <c:pt idx="2">
                    <c:v>2.0249999999999999</c:v>
                  </c:pt>
                  <c:pt idx="3">
                    <c:v>1.2849999999999999</c:v>
                  </c:pt>
                  <c:pt idx="4">
                    <c:v>0.27950000000000003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PETG!$A$4:$A$8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PETG!$H$4:$H$8</c:f>
              <c:numCache>
                <c:formatCode>0.00</c:formatCode>
                <c:ptCount val="5"/>
                <c:pt idx="0">
                  <c:v>43</c:v>
                </c:pt>
                <c:pt idx="1">
                  <c:v>46.1</c:v>
                </c:pt>
                <c:pt idx="2">
                  <c:v>44.2</c:v>
                </c:pt>
                <c:pt idx="3">
                  <c:v>47.5</c:v>
                </c:pt>
                <c:pt idx="4">
                  <c:v>37.299999999999997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31C-454E-9668-657C191E3A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0350527"/>
        <c:axId val="1870351007"/>
      </c:scatterChart>
      <c:valAx>
        <c:axId val="1870350527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Uke</a:t>
                </a:r>
              </a:p>
            </c:rich>
          </c:tx>
          <c:overlay val="0"/>
          <c:spPr>
            <a:noFill/>
            <a:ln w="6350"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351007"/>
        <c:crosses val="autoZero"/>
        <c:crossBetween val="midCat"/>
        <c:majorUnit val="3"/>
      </c:valAx>
      <c:valAx>
        <c:axId val="1870351007"/>
        <c:scaling>
          <c:orientation val="minMax"/>
          <c:max val="6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Strekkfasthet [MPa]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350527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Tøyning mot uke (PETG 20 °C)</a:t>
            </a:r>
          </a:p>
        </c:rich>
      </c:tx>
      <c:layout>
        <c:manualLayout>
          <c:xMode val="edge"/>
          <c:yMode val="edge"/>
          <c:x val="0.23478491114536609"/>
          <c:y val="3.70371866871828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Tørr</c:v>
          </c:tx>
          <c:spPr>
            <a:ln w="12700" cap="rnd">
              <a:solidFill>
                <a:srgbClr val="1F4E79"/>
              </a:solidFill>
              <a:prstDash val="solid"/>
              <a:round/>
            </a:ln>
            <a:effectLst/>
          </c:spPr>
          <c:marker>
            <c:symbol val="square"/>
            <c:size val="5"/>
            <c:spPr>
              <a:solidFill>
                <a:srgbClr val="1F4E79"/>
              </a:solidFill>
              <a:ln w="9525">
                <a:solidFill>
                  <a:srgbClr val="1F4E79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PETG!$Y$4:$Y$8</c:f>
                <c:numCache>
                  <c:formatCode>General</c:formatCode>
                  <c:ptCount val="5"/>
                  <c:pt idx="0">
                    <c:v>8.5999999999999993E-2</c:v>
                  </c:pt>
                  <c:pt idx="1">
                    <c:v>0.29499999999999998</c:v>
                  </c:pt>
                  <c:pt idx="2">
                    <c:v>0.42149999999999999</c:v>
                  </c:pt>
                  <c:pt idx="3">
                    <c:v>0.31900000000000001</c:v>
                  </c:pt>
                  <c:pt idx="4">
                    <c:v>0.505</c:v>
                  </c:pt>
                </c:numCache>
              </c:numRef>
            </c:plus>
            <c:minus>
              <c:numRef>
                <c:f>PETG!$Y$4:$Y$8</c:f>
                <c:numCache>
                  <c:formatCode>General</c:formatCode>
                  <c:ptCount val="5"/>
                  <c:pt idx="0">
                    <c:v>8.5999999999999993E-2</c:v>
                  </c:pt>
                  <c:pt idx="1">
                    <c:v>0.29499999999999998</c:v>
                  </c:pt>
                  <c:pt idx="2">
                    <c:v>0.42149999999999999</c:v>
                  </c:pt>
                  <c:pt idx="3">
                    <c:v>0.31900000000000001</c:v>
                  </c:pt>
                  <c:pt idx="4">
                    <c:v>0.505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PETG!$A$4:$A$8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PETG!$W$4:$W$8</c:f>
              <c:numCache>
                <c:formatCode>0.00</c:formatCode>
                <c:ptCount val="5"/>
                <c:pt idx="0">
                  <c:v>11.2</c:v>
                </c:pt>
                <c:pt idx="1">
                  <c:v>13.3</c:v>
                </c:pt>
                <c:pt idx="2">
                  <c:v>11.9</c:v>
                </c:pt>
                <c:pt idx="3">
                  <c:v>12.4</c:v>
                </c:pt>
                <c:pt idx="4">
                  <c:v>8.69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49-401E-941B-CF7F3989D581}"/>
            </c:ext>
          </c:extLst>
        </c:ser>
        <c:ser>
          <c:idx val="1"/>
          <c:order val="1"/>
          <c:tx>
            <c:v>Våt</c:v>
          </c:tx>
          <c:spPr>
            <a:ln w="12700" cap="rnd">
              <a:solidFill>
                <a:srgbClr val="5B9BD5"/>
              </a:solidFill>
              <a:prstDash val="lgDash"/>
              <a:round/>
            </a:ln>
            <a:effectLst/>
          </c:spPr>
          <c:marker>
            <c:symbol val="square"/>
            <c:size val="5"/>
            <c:spPr>
              <a:solidFill>
                <a:srgbClr val="5B9BD5"/>
              </a:solidFill>
              <a:ln w="19050">
                <a:solidFill>
                  <a:srgbClr val="5B9BD5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PETG!$M$4:$M$8</c:f>
                <c:numCache>
                  <c:formatCode>General</c:formatCode>
                  <c:ptCount val="5"/>
                  <c:pt idx="0">
                    <c:v>8.5999999999999993E-2</c:v>
                  </c:pt>
                  <c:pt idx="1">
                    <c:v>5.4</c:v>
                  </c:pt>
                  <c:pt idx="2">
                    <c:v>23.55</c:v>
                  </c:pt>
                  <c:pt idx="3">
                    <c:v>0.44650000000000001</c:v>
                  </c:pt>
                  <c:pt idx="4">
                    <c:v>14.5</c:v>
                  </c:pt>
                </c:numCache>
              </c:numRef>
            </c:plus>
            <c:minus>
              <c:numRef>
                <c:f>PETG!$M$4:$M$8</c:f>
                <c:numCache>
                  <c:formatCode>General</c:formatCode>
                  <c:ptCount val="5"/>
                  <c:pt idx="0">
                    <c:v>8.5999999999999993E-2</c:v>
                  </c:pt>
                  <c:pt idx="1">
                    <c:v>5.4</c:v>
                  </c:pt>
                  <c:pt idx="2">
                    <c:v>23.55</c:v>
                  </c:pt>
                  <c:pt idx="3">
                    <c:v>0.44650000000000001</c:v>
                  </c:pt>
                  <c:pt idx="4">
                    <c:v>14.5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PETG!$A$4:$A$8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PETG!$K$4:$K$8</c:f>
              <c:numCache>
                <c:formatCode>0.00</c:formatCode>
                <c:ptCount val="5"/>
                <c:pt idx="0">
                  <c:v>11.2</c:v>
                </c:pt>
                <c:pt idx="1">
                  <c:v>16.8</c:v>
                </c:pt>
                <c:pt idx="2">
                  <c:v>43.1</c:v>
                </c:pt>
                <c:pt idx="3">
                  <c:v>12.7</c:v>
                </c:pt>
                <c:pt idx="4">
                  <c:v>21.9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D49-401E-941B-CF7F3989D5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0350527"/>
        <c:axId val="1870351007"/>
      </c:scatterChart>
      <c:valAx>
        <c:axId val="1870350527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Uke</a:t>
                </a:r>
              </a:p>
            </c:rich>
          </c:tx>
          <c:overlay val="0"/>
          <c:spPr>
            <a:noFill/>
            <a:ln w="6350"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351007"/>
        <c:crosses val="autoZero"/>
        <c:crossBetween val="midCat"/>
        <c:majorUnit val="3"/>
      </c:valAx>
      <c:valAx>
        <c:axId val="1870351007"/>
        <c:scaling>
          <c:orientation val="minMax"/>
          <c:max val="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Tøyning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350527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Elastisitetsmodul mot uke (PETG 40 °C)</a:t>
            </a:r>
          </a:p>
        </c:rich>
      </c:tx>
      <c:layout>
        <c:manualLayout>
          <c:xMode val="edge"/>
          <c:yMode val="edge"/>
          <c:x val="0.30171110455573458"/>
          <c:y val="4.05092592592592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Tørr</c:v>
          </c:tx>
          <c:spPr>
            <a:ln w="12700" cap="rnd">
              <a:solidFill>
                <a:srgbClr val="375623"/>
              </a:solidFill>
              <a:prstDash val="solid"/>
              <a:round/>
            </a:ln>
            <a:effectLst/>
          </c:spPr>
          <c:marker>
            <c:symbol val="triangle"/>
            <c:size val="5"/>
            <c:spPr>
              <a:solidFill>
                <a:srgbClr val="375623"/>
              </a:solidFill>
              <a:ln w="9525">
                <a:solidFill>
                  <a:srgbClr val="375623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PETG!$P$28:$P$32</c:f>
                <c:numCache>
                  <c:formatCode>General</c:formatCode>
                  <c:ptCount val="5"/>
                  <c:pt idx="0">
                    <c:v>7.45</c:v>
                  </c:pt>
                  <c:pt idx="1">
                    <c:v>75</c:v>
                  </c:pt>
                  <c:pt idx="2">
                    <c:v>26.85</c:v>
                  </c:pt>
                  <c:pt idx="3">
                    <c:v>73</c:v>
                  </c:pt>
                  <c:pt idx="4">
                    <c:v>39.950000000000003</c:v>
                  </c:pt>
                </c:numCache>
              </c:numRef>
            </c:plus>
            <c:minus>
              <c:numRef>
                <c:f>PETG!$P$28:$P$32</c:f>
                <c:numCache>
                  <c:formatCode>General</c:formatCode>
                  <c:ptCount val="5"/>
                  <c:pt idx="0">
                    <c:v>7.45</c:v>
                  </c:pt>
                  <c:pt idx="1">
                    <c:v>75</c:v>
                  </c:pt>
                  <c:pt idx="2">
                    <c:v>26.85</c:v>
                  </c:pt>
                  <c:pt idx="3">
                    <c:v>73</c:v>
                  </c:pt>
                  <c:pt idx="4">
                    <c:v>39.950000000000003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PETG!$A$28:$A$32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PETG!$N$28:$N$32</c:f>
              <c:numCache>
                <c:formatCode>0.00</c:formatCode>
                <c:ptCount val="5"/>
                <c:pt idx="0">
                  <c:v>862</c:v>
                </c:pt>
                <c:pt idx="1">
                  <c:v>565</c:v>
                </c:pt>
                <c:pt idx="2">
                  <c:v>790</c:v>
                </c:pt>
                <c:pt idx="3">
                  <c:v>913</c:v>
                </c:pt>
                <c:pt idx="4">
                  <c:v>559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B4-4B3E-9384-72F6FB8FD91E}"/>
            </c:ext>
          </c:extLst>
        </c:ser>
        <c:ser>
          <c:idx val="1"/>
          <c:order val="1"/>
          <c:tx>
            <c:v>Våt</c:v>
          </c:tx>
          <c:spPr>
            <a:ln w="12700" cap="rnd">
              <a:solidFill>
                <a:srgbClr val="70AD47"/>
              </a:solidFill>
              <a:prstDash val="lgDash"/>
              <a:round/>
            </a:ln>
            <a:effectLst/>
          </c:spPr>
          <c:marker>
            <c:symbol val="triangle"/>
            <c:size val="5"/>
            <c:spPr>
              <a:solidFill>
                <a:srgbClr val="70AD47"/>
              </a:solidFill>
              <a:ln w="9525">
                <a:solidFill>
                  <a:srgbClr val="70AD47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PETG!$D$28:$D$32</c:f>
                <c:numCache>
                  <c:formatCode>General</c:formatCode>
                  <c:ptCount val="5"/>
                  <c:pt idx="0">
                    <c:v>7.45</c:v>
                  </c:pt>
                  <c:pt idx="1">
                    <c:v>14.25</c:v>
                  </c:pt>
                  <c:pt idx="2">
                    <c:v>9.4499999999999993</c:v>
                  </c:pt>
                  <c:pt idx="3">
                    <c:v>16.05</c:v>
                  </c:pt>
                  <c:pt idx="4">
                    <c:v>9</c:v>
                  </c:pt>
                </c:numCache>
              </c:numRef>
            </c:plus>
            <c:minus>
              <c:numRef>
                <c:f>PETG!$D$28:$D$32</c:f>
                <c:numCache>
                  <c:formatCode>General</c:formatCode>
                  <c:ptCount val="5"/>
                  <c:pt idx="0">
                    <c:v>7.45</c:v>
                  </c:pt>
                  <c:pt idx="1">
                    <c:v>14.25</c:v>
                  </c:pt>
                  <c:pt idx="2">
                    <c:v>9.4499999999999993</c:v>
                  </c:pt>
                  <c:pt idx="3">
                    <c:v>16.05</c:v>
                  </c:pt>
                  <c:pt idx="4">
                    <c:v>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PETG!$A$28:$A$32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PETG!$B$28:$B$32</c:f>
              <c:numCache>
                <c:formatCode>0.00</c:formatCode>
                <c:ptCount val="5"/>
                <c:pt idx="0">
                  <c:v>862</c:v>
                </c:pt>
                <c:pt idx="1">
                  <c:v>776</c:v>
                </c:pt>
                <c:pt idx="2">
                  <c:v>825</c:v>
                </c:pt>
                <c:pt idx="3">
                  <c:v>804</c:v>
                </c:pt>
                <c:pt idx="4">
                  <c:v>526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0B4-4B3E-9384-72F6FB8FD9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0350527"/>
        <c:axId val="1870351007"/>
      </c:scatterChart>
      <c:valAx>
        <c:axId val="1870350527"/>
        <c:scaling>
          <c:orientation val="minMax"/>
          <c:max val="1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Uke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351007"/>
        <c:crosses val="autoZero"/>
        <c:crossBetween val="midCat"/>
        <c:majorUnit val="3"/>
      </c:valAx>
      <c:valAx>
        <c:axId val="1870351007"/>
        <c:scaling>
          <c:orientation val="minMax"/>
          <c:max val="16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Elastisitetsmodul [MPa]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3505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Flytespenning mot uke (PETG 40 °C)</a:t>
            </a:r>
          </a:p>
        </c:rich>
      </c:tx>
      <c:layout>
        <c:manualLayout>
          <c:xMode val="edge"/>
          <c:yMode val="edge"/>
          <c:x val="0.3852845581802275"/>
          <c:y val="3.703703703703703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Tørr</c:v>
          </c:tx>
          <c:spPr>
            <a:ln w="12700">
              <a:solidFill>
                <a:srgbClr val="375623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375623"/>
              </a:solidFill>
              <a:ln>
                <a:solidFill>
                  <a:srgbClr val="375623"/>
                </a:solidFill>
                <a:prstDash val="solid"/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PETG!$S$28:$S$32</c:f>
                <c:numCache>
                  <c:formatCode>General</c:formatCode>
                  <c:ptCount val="5"/>
                  <c:pt idx="0">
                    <c:v>0.51500000000000001</c:v>
                  </c:pt>
                  <c:pt idx="1">
                    <c:v>1.1000000000000001</c:v>
                  </c:pt>
                  <c:pt idx="2">
                    <c:v>1.3049999999999999</c:v>
                  </c:pt>
                  <c:pt idx="3">
                    <c:v>1.135</c:v>
                  </c:pt>
                  <c:pt idx="4">
                    <c:v>0.99</c:v>
                  </c:pt>
                </c:numCache>
              </c:numRef>
            </c:plus>
            <c:minus>
              <c:numRef>
                <c:f>PETG!$S$28:$S$32</c:f>
                <c:numCache>
                  <c:formatCode>General</c:formatCode>
                  <c:ptCount val="5"/>
                  <c:pt idx="0">
                    <c:v>0.51500000000000001</c:v>
                  </c:pt>
                  <c:pt idx="1">
                    <c:v>1.1000000000000001</c:v>
                  </c:pt>
                  <c:pt idx="2">
                    <c:v>1.3049999999999999</c:v>
                  </c:pt>
                  <c:pt idx="3">
                    <c:v>1.135</c:v>
                  </c:pt>
                  <c:pt idx="4">
                    <c:v>0.99</c:v>
                  </c:pt>
                </c:numCache>
              </c:numRef>
            </c:minus>
          </c:errBars>
          <c:xVal>
            <c:numRef>
              <c:f>PETG!$A$28:$A$32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PETG!$Q$28:$Q$32</c:f>
              <c:numCache>
                <c:formatCode>0.00</c:formatCode>
                <c:ptCount val="5"/>
                <c:pt idx="0">
                  <c:v>16.3</c:v>
                </c:pt>
                <c:pt idx="1">
                  <c:v>18</c:v>
                </c:pt>
                <c:pt idx="2">
                  <c:v>17.399999999999999</c:v>
                </c:pt>
                <c:pt idx="3">
                  <c:v>15.9</c:v>
                </c:pt>
                <c:pt idx="4">
                  <c:v>5.98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55-420B-85E6-A8F11CC19DC7}"/>
            </c:ext>
          </c:extLst>
        </c:ser>
        <c:ser>
          <c:idx val="1"/>
          <c:order val="1"/>
          <c:tx>
            <c:v>Våt</c:v>
          </c:tx>
          <c:spPr>
            <a:ln w="12700">
              <a:solidFill>
                <a:srgbClr val="70AD47"/>
              </a:solidFill>
              <a:prstDash val="lgDash"/>
            </a:ln>
          </c:spPr>
          <c:marker>
            <c:symbol val="triangle"/>
            <c:size val="5"/>
            <c: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PETG!$G$28:$G$32</c:f>
                <c:numCache>
                  <c:formatCode>General</c:formatCode>
                  <c:ptCount val="5"/>
                  <c:pt idx="0">
                    <c:v>0.51500000000000001</c:v>
                  </c:pt>
                  <c:pt idx="1">
                    <c:v>0.875</c:v>
                  </c:pt>
                  <c:pt idx="2">
                    <c:v>0.313</c:v>
                  </c:pt>
                  <c:pt idx="3">
                    <c:v>0.84499999999999997</c:v>
                  </c:pt>
                  <c:pt idx="4">
                    <c:v>0.59499999999999997</c:v>
                  </c:pt>
                </c:numCache>
              </c:numRef>
            </c:plus>
            <c:minus>
              <c:numRef>
                <c:f>PETG!$G$28:$G$32</c:f>
                <c:numCache>
                  <c:formatCode>General</c:formatCode>
                  <c:ptCount val="5"/>
                  <c:pt idx="0">
                    <c:v>0.51500000000000001</c:v>
                  </c:pt>
                  <c:pt idx="1">
                    <c:v>0.875</c:v>
                  </c:pt>
                  <c:pt idx="2">
                    <c:v>0.313</c:v>
                  </c:pt>
                  <c:pt idx="3">
                    <c:v>0.84499999999999997</c:v>
                  </c:pt>
                  <c:pt idx="4">
                    <c:v>0.59499999999999997</c:v>
                  </c:pt>
                </c:numCache>
              </c:numRef>
            </c:minus>
          </c:errBars>
          <c:xVal>
            <c:numRef>
              <c:f>PETG!$A$28:$A$32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PETG!$E$28:$E$32</c:f>
              <c:numCache>
                <c:formatCode>0.00</c:formatCode>
                <c:ptCount val="5"/>
                <c:pt idx="0">
                  <c:v>16.3</c:v>
                </c:pt>
                <c:pt idx="1">
                  <c:v>16</c:v>
                </c:pt>
                <c:pt idx="2">
                  <c:v>17.3</c:v>
                </c:pt>
                <c:pt idx="3">
                  <c:v>18.100000000000001</c:v>
                </c:pt>
                <c:pt idx="4">
                  <c:v>7.34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A55-420B-85E6-A8F11CC19D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0350527"/>
        <c:axId val="1870351007"/>
      </c:scatterChart>
      <c:valAx>
        <c:axId val="1870350527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100" b="1"/>
                </a:pPr>
                <a:r>
                  <a:rPr lang="en-US"/>
                  <a:t>Uke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351007"/>
        <c:crosses val="autoZero"/>
        <c:crossBetween val="midCat"/>
        <c:majorUnit val="3"/>
      </c:valAx>
      <c:valAx>
        <c:axId val="1870351007"/>
        <c:scaling>
          <c:orientation val="minMax"/>
          <c:max val="4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100" b="1"/>
                </a:pPr>
                <a:r>
                  <a:rPr lang="en-US"/>
                  <a:t>Flytegrense (0,2%) [MPa]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350527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ln w="6350">
      <a:solidFill>
        <a:schemeClr val="tx1">
          <a:tint val="75000"/>
        </a:schemeClr>
      </a:solidFill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Strekkfasthet mot uke (PETG 40 °C)</a:t>
            </a:r>
          </a:p>
        </c:rich>
      </c:tx>
      <c:layout>
        <c:manualLayout>
          <c:xMode val="edge"/>
          <c:yMode val="edge"/>
          <c:x val="0.23478491114536609"/>
          <c:y val="3.70371866871828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Tørr</c:v>
          </c:tx>
          <c:spPr>
            <a:ln w="12700" cap="rnd">
              <a:solidFill>
                <a:srgbClr val="375623"/>
              </a:solidFill>
              <a:prstDash val="solid"/>
              <a:round/>
            </a:ln>
            <a:effectLst/>
          </c:spPr>
          <c:marker>
            <c:symbol val="triangle"/>
            <c:size val="5"/>
            <c:spPr>
              <a:solidFill>
                <a:srgbClr val="375623"/>
              </a:solidFill>
              <a:ln w="9525">
                <a:solidFill>
                  <a:srgbClr val="375623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PETG!$V$28:$V$32</c:f>
                <c:numCache>
                  <c:formatCode>General</c:formatCode>
                  <c:ptCount val="5"/>
                  <c:pt idx="0">
                    <c:v>0.3175</c:v>
                  </c:pt>
                  <c:pt idx="1">
                    <c:v>0.70499999999999996</c:v>
                  </c:pt>
                  <c:pt idx="2">
                    <c:v>0.82499999999999996</c:v>
                  </c:pt>
                  <c:pt idx="3">
                    <c:v>0.75</c:v>
                  </c:pt>
                  <c:pt idx="4">
                    <c:v>1.21</c:v>
                  </c:pt>
                </c:numCache>
              </c:numRef>
            </c:plus>
            <c:minus>
              <c:numRef>
                <c:f>PETG!$V$28:$V$32</c:f>
                <c:numCache>
                  <c:formatCode>General</c:formatCode>
                  <c:ptCount val="5"/>
                  <c:pt idx="0">
                    <c:v>0.3175</c:v>
                  </c:pt>
                  <c:pt idx="1">
                    <c:v>0.70499999999999996</c:v>
                  </c:pt>
                  <c:pt idx="2">
                    <c:v>0.82499999999999996</c:v>
                  </c:pt>
                  <c:pt idx="3">
                    <c:v>0.75</c:v>
                  </c:pt>
                  <c:pt idx="4">
                    <c:v>1.21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PETG!$A$28:$A$32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PETG!$T$28:$T$32</c:f>
              <c:numCache>
                <c:formatCode>0.00</c:formatCode>
                <c:ptCount val="5"/>
                <c:pt idx="0">
                  <c:v>43</c:v>
                </c:pt>
                <c:pt idx="1">
                  <c:v>53.7</c:v>
                </c:pt>
                <c:pt idx="2">
                  <c:v>56.2</c:v>
                </c:pt>
                <c:pt idx="3">
                  <c:v>53.1</c:v>
                </c:pt>
                <c:pt idx="4">
                  <c:v>40.5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5B-4BAA-9E43-D09583A88268}"/>
            </c:ext>
          </c:extLst>
        </c:ser>
        <c:ser>
          <c:idx val="1"/>
          <c:order val="1"/>
          <c:tx>
            <c:v>Våt</c:v>
          </c:tx>
          <c:spPr>
            <a:ln w="12700" cap="rnd">
              <a:solidFill>
                <a:srgbClr val="70AD47"/>
              </a:solidFill>
              <a:prstDash val="lgDash"/>
              <a:round/>
            </a:ln>
            <a:effectLst/>
          </c:spPr>
          <c:marker>
            <c:symbol val="triangle"/>
            <c:size val="5"/>
            <c:spPr>
              <a:solidFill>
                <a:srgbClr val="70AD47"/>
              </a:solidFill>
              <a:ln w="9525">
                <a:solidFill>
                  <a:srgbClr val="70AD47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PETG!$J$28:$J$32</c:f>
                <c:numCache>
                  <c:formatCode>General</c:formatCode>
                  <c:ptCount val="5"/>
                  <c:pt idx="0">
                    <c:v>0.3175</c:v>
                  </c:pt>
                  <c:pt idx="1">
                    <c:v>0.59499999999999997</c:v>
                  </c:pt>
                  <c:pt idx="2">
                    <c:v>0.5</c:v>
                  </c:pt>
                  <c:pt idx="3">
                    <c:v>0.58499999999999996</c:v>
                  </c:pt>
                  <c:pt idx="4">
                    <c:v>1.0149999999999999</c:v>
                  </c:pt>
                </c:numCache>
              </c:numRef>
            </c:plus>
            <c:minus>
              <c:numRef>
                <c:f>PETG!$J$28:$J$32</c:f>
                <c:numCache>
                  <c:formatCode>General</c:formatCode>
                  <c:ptCount val="5"/>
                  <c:pt idx="0">
                    <c:v>0.3175</c:v>
                  </c:pt>
                  <c:pt idx="1">
                    <c:v>0.59499999999999997</c:v>
                  </c:pt>
                  <c:pt idx="2">
                    <c:v>0.5</c:v>
                  </c:pt>
                  <c:pt idx="3">
                    <c:v>0.58499999999999996</c:v>
                  </c:pt>
                  <c:pt idx="4">
                    <c:v>1.0149999999999999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PETG!$A$28:$A$32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PETG!$H$28:$H$32</c:f>
              <c:numCache>
                <c:formatCode>0.00</c:formatCode>
                <c:ptCount val="5"/>
                <c:pt idx="0">
                  <c:v>43</c:v>
                </c:pt>
                <c:pt idx="1">
                  <c:v>52.4</c:v>
                </c:pt>
                <c:pt idx="2">
                  <c:v>51.1</c:v>
                </c:pt>
                <c:pt idx="3">
                  <c:v>54.2</c:v>
                </c:pt>
                <c:pt idx="4">
                  <c:v>41.9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E5B-4BAA-9E43-D09583A882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0350527"/>
        <c:axId val="1870351007"/>
      </c:scatterChart>
      <c:valAx>
        <c:axId val="1870350527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Uke</a:t>
                </a:r>
              </a:p>
            </c:rich>
          </c:tx>
          <c:overlay val="0"/>
          <c:spPr>
            <a:noFill/>
            <a:ln w="6350"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351007"/>
        <c:crosses val="autoZero"/>
        <c:crossBetween val="midCat"/>
        <c:majorUnit val="3"/>
      </c:valAx>
      <c:valAx>
        <c:axId val="1870351007"/>
        <c:scaling>
          <c:orientation val="minMax"/>
          <c:max val="6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Strekkfasthet [MPa]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350527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Tøyning mot uke (PETG 40 °C)</a:t>
            </a:r>
          </a:p>
        </c:rich>
      </c:tx>
      <c:layout>
        <c:manualLayout>
          <c:xMode val="edge"/>
          <c:yMode val="edge"/>
          <c:x val="0.23478491114536609"/>
          <c:y val="3.70371866871828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Tørr</c:v>
          </c:tx>
          <c:spPr>
            <a:ln w="12700" cap="rnd">
              <a:solidFill>
                <a:srgbClr val="375623"/>
              </a:solidFill>
              <a:prstDash val="solid"/>
              <a:round/>
            </a:ln>
            <a:effectLst/>
          </c:spPr>
          <c:marker>
            <c:symbol val="triangle"/>
            <c:size val="5"/>
            <c:spPr>
              <a:solidFill>
                <a:srgbClr val="375623"/>
              </a:solidFill>
              <a:ln w="9525">
                <a:solidFill>
                  <a:srgbClr val="375623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PETG!$Y$28:$Y$32</c:f>
                <c:numCache>
                  <c:formatCode>General</c:formatCode>
                  <c:ptCount val="5"/>
                  <c:pt idx="0">
                    <c:v>8.5999999999999993E-2</c:v>
                  </c:pt>
                  <c:pt idx="1">
                    <c:v>0.26750000000000002</c:v>
                  </c:pt>
                  <c:pt idx="2">
                    <c:v>0.23150000000000001</c:v>
                  </c:pt>
                  <c:pt idx="3">
                    <c:v>0.29849999999999999</c:v>
                  </c:pt>
                  <c:pt idx="4">
                    <c:v>0.24049999999999999</c:v>
                  </c:pt>
                </c:numCache>
              </c:numRef>
            </c:plus>
            <c:minus>
              <c:numRef>
                <c:f>PETG!$Y$28:$Y$32</c:f>
                <c:numCache>
                  <c:formatCode>General</c:formatCode>
                  <c:ptCount val="5"/>
                  <c:pt idx="0">
                    <c:v>8.5999999999999993E-2</c:v>
                  </c:pt>
                  <c:pt idx="1">
                    <c:v>0.26750000000000002</c:v>
                  </c:pt>
                  <c:pt idx="2">
                    <c:v>0.23150000000000001</c:v>
                  </c:pt>
                  <c:pt idx="3">
                    <c:v>0.29849999999999999</c:v>
                  </c:pt>
                  <c:pt idx="4">
                    <c:v>0.24049999999999999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PETG!$A$28:$A$32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PETG!$W$28:$W$32</c:f>
              <c:numCache>
                <c:formatCode>0.00</c:formatCode>
                <c:ptCount val="5"/>
                <c:pt idx="0">
                  <c:v>11.2</c:v>
                </c:pt>
                <c:pt idx="1">
                  <c:v>13.3</c:v>
                </c:pt>
                <c:pt idx="2">
                  <c:v>13.1</c:v>
                </c:pt>
                <c:pt idx="3">
                  <c:v>12.3</c:v>
                </c:pt>
                <c:pt idx="4">
                  <c:v>8.2200000000000006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11-4E46-9E03-E5F317FDAEA4}"/>
            </c:ext>
          </c:extLst>
        </c:ser>
        <c:ser>
          <c:idx val="1"/>
          <c:order val="1"/>
          <c:tx>
            <c:v>Våt</c:v>
          </c:tx>
          <c:spPr>
            <a:ln w="12700" cap="rnd">
              <a:solidFill>
                <a:srgbClr val="70AD47"/>
              </a:solidFill>
              <a:prstDash val="lgDash"/>
              <a:round/>
            </a:ln>
            <a:effectLst/>
          </c:spPr>
          <c:marker>
            <c:symbol val="triangle"/>
            <c:size val="5"/>
            <c:spPr>
              <a:solidFill>
                <a:srgbClr val="70AD47"/>
              </a:solidFill>
              <a:ln w="19050">
                <a:solidFill>
                  <a:srgbClr val="70AD47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PETG!$M$28:$M$32</c:f>
                <c:numCache>
                  <c:formatCode>General</c:formatCode>
                  <c:ptCount val="5"/>
                  <c:pt idx="0">
                    <c:v>8.5999999999999993E-2</c:v>
                  </c:pt>
                  <c:pt idx="1">
                    <c:v>0.32800000000000001</c:v>
                  </c:pt>
                  <c:pt idx="2">
                    <c:v>0.14699999999999999</c:v>
                  </c:pt>
                  <c:pt idx="3">
                    <c:v>0.14499999999999999</c:v>
                  </c:pt>
                  <c:pt idx="4">
                    <c:v>0.32400000000000001</c:v>
                  </c:pt>
                </c:numCache>
              </c:numRef>
            </c:plus>
            <c:minus>
              <c:numRef>
                <c:f>PETG!$M$28:$M$32</c:f>
                <c:numCache>
                  <c:formatCode>General</c:formatCode>
                  <c:ptCount val="5"/>
                  <c:pt idx="0">
                    <c:v>8.5999999999999993E-2</c:v>
                  </c:pt>
                  <c:pt idx="1">
                    <c:v>0.32800000000000001</c:v>
                  </c:pt>
                  <c:pt idx="2">
                    <c:v>0.14699999999999999</c:v>
                  </c:pt>
                  <c:pt idx="3">
                    <c:v>0.14499999999999999</c:v>
                  </c:pt>
                  <c:pt idx="4">
                    <c:v>0.32400000000000001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PETG!$A$28:$A$32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PETG!$K$28:$K$32</c:f>
              <c:numCache>
                <c:formatCode>0.00</c:formatCode>
                <c:ptCount val="5"/>
                <c:pt idx="0">
                  <c:v>11.2</c:v>
                </c:pt>
                <c:pt idx="1">
                  <c:v>12.5</c:v>
                </c:pt>
                <c:pt idx="2">
                  <c:v>11.3</c:v>
                </c:pt>
                <c:pt idx="3">
                  <c:v>13.3</c:v>
                </c:pt>
                <c:pt idx="4">
                  <c:v>8.9600000000000009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11-4E46-9E03-E5F317FDAE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0350527"/>
        <c:axId val="1870351007"/>
      </c:scatterChart>
      <c:valAx>
        <c:axId val="1870350527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Uke</a:t>
                </a:r>
              </a:p>
            </c:rich>
          </c:tx>
          <c:overlay val="0"/>
          <c:spPr>
            <a:noFill/>
            <a:ln w="6350"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351007"/>
        <c:crosses val="autoZero"/>
        <c:crossBetween val="midCat"/>
        <c:majorUnit val="3"/>
      </c:valAx>
      <c:valAx>
        <c:axId val="1870351007"/>
        <c:scaling>
          <c:orientation val="minMax"/>
          <c:max val="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Tøyning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350527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Elastisitetsmodul mot uke (PETG 60 °C)</a:t>
            </a:r>
          </a:p>
        </c:rich>
      </c:tx>
      <c:layout>
        <c:manualLayout>
          <c:xMode val="edge"/>
          <c:yMode val="edge"/>
          <c:x val="0.30171110455573458"/>
          <c:y val="4.05092592592592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Tørr</c:v>
          </c:tx>
          <c:spPr>
            <a:ln w="12700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diamond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PETG!$P$52:$P$56</c:f>
                <c:numCache>
                  <c:formatCode>General</c:formatCode>
                  <c:ptCount val="5"/>
                  <c:pt idx="0">
                    <c:v>7.45</c:v>
                  </c:pt>
                  <c:pt idx="1">
                    <c:v>92.5</c:v>
                  </c:pt>
                  <c:pt idx="2">
                    <c:v>10.1</c:v>
                  </c:pt>
                  <c:pt idx="3">
                    <c:v>11.4</c:v>
                  </c:pt>
                  <c:pt idx="4">
                    <c:v>80</c:v>
                  </c:pt>
                </c:numCache>
              </c:numRef>
            </c:plus>
            <c:minus>
              <c:numRef>
                <c:f>PETG!$P$52:$P$56</c:f>
                <c:numCache>
                  <c:formatCode>General</c:formatCode>
                  <c:ptCount val="5"/>
                  <c:pt idx="0">
                    <c:v>7.45</c:v>
                  </c:pt>
                  <c:pt idx="1">
                    <c:v>92.5</c:v>
                  </c:pt>
                  <c:pt idx="2">
                    <c:v>10.1</c:v>
                  </c:pt>
                  <c:pt idx="3">
                    <c:v>11.4</c:v>
                  </c:pt>
                  <c:pt idx="4">
                    <c:v>80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PETG!$A$52:$A$56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PETG!$N$52:$N$56</c:f>
              <c:numCache>
                <c:formatCode>0.00</c:formatCode>
                <c:ptCount val="5"/>
                <c:pt idx="0">
                  <c:v>862</c:v>
                </c:pt>
                <c:pt idx="1">
                  <c:v>665</c:v>
                </c:pt>
                <c:pt idx="2">
                  <c:v>824</c:v>
                </c:pt>
                <c:pt idx="3">
                  <c:v>830</c:v>
                </c:pt>
                <c:pt idx="4">
                  <c:v>539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31-481B-8567-5F9181255642}"/>
            </c:ext>
          </c:extLst>
        </c:ser>
        <c:ser>
          <c:idx val="1"/>
          <c:order val="1"/>
          <c:tx>
            <c:v>Våt</c:v>
          </c:tx>
          <c:spPr>
            <a:ln w="12700" cap="rnd">
              <a:solidFill>
                <a:srgbClr val="FF4040"/>
              </a:solidFill>
              <a:prstDash val="lgDash"/>
              <a:round/>
            </a:ln>
            <a:effectLst/>
          </c:spPr>
          <c:marker>
            <c:symbol val="diamond"/>
            <c:size val="5"/>
            <c:spPr>
              <a:solidFill>
                <a:srgbClr val="FF4040"/>
              </a:solidFill>
              <a:ln w="9525">
                <a:solidFill>
                  <a:srgbClr val="FF4040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PETG!$D$52:$D$56</c:f>
                <c:numCache>
                  <c:formatCode>General</c:formatCode>
                  <c:ptCount val="5"/>
                  <c:pt idx="0">
                    <c:v>7.45</c:v>
                  </c:pt>
                  <c:pt idx="1">
                    <c:v>88</c:v>
                  </c:pt>
                  <c:pt idx="2">
                    <c:v>8.5500000000000007</c:v>
                  </c:pt>
                  <c:pt idx="3">
                    <c:v>102</c:v>
                  </c:pt>
                  <c:pt idx="4">
                    <c:v>15.85</c:v>
                  </c:pt>
                </c:numCache>
              </c:numRef>
            </c:plus>
            <c:minus>
              <c:numRef>
                <c:f>PETG!$D$52:$D$56</c:f>
                <c:numCache>
                  <c:formatCode>General</c:formatCode>
                  <c:ptCount val="5"/>
                  <c:pt idx="0">
                    <c:v>7.45</c:v>
                  </c:pt>
                  <c:pt idx="1">
                    <c:v>88</c:v>
                  </c:pt>
                  <c:pt idx="2">
                    <c:v>8.5500000000000007</c:v>
                  </c:pt>
                  <c:pt idx="3">
                    <c:v>102</c:v>
                  </c:pt>
                  <c:pt idx="4">
                    <c:v>15.85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PETG!$A$52:$A$56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PETG!$B$52:$B$56</c:f>
              <c:numCache>
                <c:formatCode>0.00</c:formatCode>
                <c:ptCount val="5"/>
                <c:pt idx="0">
                  <c:v>862</c:v>
                </c:pt>
                <c:pt idx="1">
                  <c:v>515</c:v>
                </c:pt>
                <c:pt idx="2">
                  <c:v>768</c:v>
                </c:pt>
                <c:pt idx="3">
                  <c:v>735</c:v>
                </c:pt>
                <c:pt idx="4">
                  <c:v>817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331-481B-8567-5F91812556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0350527"/>
        <c:axId val="1870351007"/>
      </c:scatterChart>
      <c:valAx>
        <c:axId val="1870350527"/>
        <c:scaling>
          <c:orientation val="minMax"/>
          <c:max val="1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Uke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351007"/>
        <c:crosses val="autoZero"/>
        <c:crossBetween val="midCat"/>
        <c:majorUnit val="3"/>
      </c:valAx>
      <c:valAx>
        <c:axId val="1870351007"/>
        <c:scaling>
          <c:orientation val="minMax"/>
          <c:max val="16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Elastisitetsmodul [MPa]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3505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Flytespenning mot uke (PETG 60 °C)</a:t>
            </a:r>
          </a:p>
        </c:rich>
      </c:tx>
      <c:layout>
        <c:manualLayout>
          <c:xMode val="edge"/>
          <c:yMode val="edge"/>
          <c:x val="0.3852845581802275"/>
          <c:y val="3.703703703703703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Tørr</c:v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C00000"/>
              </a:solidFill>
              <a:ln>
                <a:solidFill>
                  <a:srgbClr val="C00000"/>
                </a:solidFill>
                <a:prstDash val="solid"/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PETG!$S$52:$S$56</c:f>
                <c:numCache>
                  <c:formatCode>General</c:formatCode>
                  <c:ptCount val="5"/>
                  <c:pt idx="0">
                    <c:v>0.51500000000000001</c:v>
                  </c:pt>
                  <c:pt idx="1">
                    <c:v>1.1100000000000001</c:v>
                  </c:pt>
                  <c:pt idx="2">
                    <c:v>1.2150000000000001</c:v>
                  </c:pt>
                  <c:pt idx="3">
                    <c:v>0.34599999999999997</c:v>
                  </c:pt>
                  <c:pt idx="4">
                    <c:v>1.62</c:v>
                  </c:pt>
                </c:numCache>
              </c:numRef>
            </c:plus>
            <c:minus>
              <c:numRef>
                <c:f>PETG!$S$52:$S$56</c:f>
                <c:numCache>
                  <c:formatCode>General</c:formatCode>
                  <c:ptCount val="5"/>
                  <c:pt idx="0">
                    <c:v>0.51500000000000001</c:v>
                  </c:pt>
                  <c:pt idx="1">
                    <c:v>1.1100000000000001</c:v>
                  </c:pt>
                  <c:pt idx="2">
                    <c:v>1.2150000000000001</c:v>
                  </c:pt>
                  <c:pt idx="3">
                    <c:v>0.34599999999999997</c:v>
                  </c:pt>
                  <c:pt idx="4">
                    <c:v>1.62</c:v>
                  </c:pt>
                </c:numCache>
              </c:numRef>
            </c:minus>
          </c:errBars>
          <c:xVal>
            <c:numRef>
              <c:f>PETG!$A$52:$A$56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PETG!$Q$52:$Q$56</c:f>
              <c:numCache>
                <c:formatCode>0.00</c:formatCode>
                <c:ptCount val="5"/>
                <c:pt idx="0">
                  <c:v>16.3</c:v>
                </c:pt>
                <c:pt idx="1">
                  <c:v>14.5</c:v>
                </c:pt>
                <c:pt idx="2">
                  <c:v>18.100000000000001</c:v>
                </c:pt>
                <c:pt idx="3">
                  <c:v>16.600000000000001</c:v>
                </c:pt>
                <c:pt idx="4">
                  <c:v>9.24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EC-4665-9598-B644BADAD5D8}"/>
            </c:ext>
          </c:extLst>
        </c:ser>
        <c:ser>
          <c:idx val="1"/>
          <c:order val="1"/>
          <c:tx>
            <c:v>Våt</c:v>
          </c:tx>
          <c:spPr>
            <a:ln w="12700">
              <a:solidFill>
                <a:srgbClr val="FF4040"/>
              </a:solidFill>
              <a:prstDash val="lgDash"/>
            </a:ln>
          </c:spPr>
          <c:marker>
            <c:symbol val="diamond"/>
            <c:size val="5"/>
            <c:spPr>
              <a:solidFill>
                <a:srgbClr val="FF4040"/>
              </a:solidFill>
              <a:ln>
                <a:solidFill>
                  <a:srgbClr val="FF4040"/>
                </a:solidFill>
                <a:prstDash val="solid"/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PETG!$G$52:$G$56</c:f>
                <c:numCache>
                  <c:formatCode>General</c:formatCode>
                  <c:ptCount val="5"/>
                  <c:pt idx="0">
                    <c:v>0.51500000000000001</c:v>
                  </c:pt>
                  <c:pt idx="1">
                    <c:v>1.97</c:v>
                  </c:pt>
                  <c:pt idx="2">
                    <c:v>0.29149999999999998</c:v>
                  </c:pt>
                  <c:pt idx="3">
                    <c:v>1.25</c:v>
                  </c:pt>
                  <c:pt idx="4">
                    <c:v>0.7</c:v>
                  </c:pt>
                </c:numCache>
              </c:numRef>
            </c:plus>
            <c:minus>
              <c:numRef>
                <c:f>PETG!$G$52:$G$56</c:f>
                <c:numCache>
                  <c:formatCode>General</c:formatCode>
                  <c:ptCount val="5"/>
                  <c:pt idx="0">
                    <c:v>0.51500000000000001</c:v>
                  </c:pt>
                  <c:pt idx="1">
                    <c:v>1.97</c:v>
                  </c:pt>
                  <c:pt idx="2">
                    <c:v>0.29149999999999998</c:v>
                  </c:pt>
                  <c:pt idx="3">
                    <c:v>1.25</c:v>
                  </c:pt>
                  <c:pt idx="4">
                    <c:v>0.7</c:v>
                  </c:pt>
                </c:numCache>
              </c:numRef>
            </c:minus>
          </c:errBars>
          <c:xVal>
            <c:numRef>
              <c:f>PETG!$A$52:$A$56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PETG!$E$52:$E$56</c:f>
              <c:numCache>
                <c:formatCode>0.00</c:formatCode>
                <c:ptCount val="5"/>
                <c:pt idx="0">
                  <c:v>16.3</c:v>
                </c:pt>
                <c:pt idx="1">
                  <c:v>15.2</c:v>
                </c:pt>
                <c:pt idx="2">
                  <c:v>14.6</c:v>
                </c:pt>
                <c:pt idx="3">
                  <c:v>17.399999999999999</c:v>
                </c:pt>
                <c:pt idx="4">
                  <c:v>16.2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CEC-4665-9598-B644BADAD5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0350527"/>
        <c:axId val="1870351007"/>
      </c:scatterChart>
      <c:valAx>
        <c:axId val="1870350527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100" b="1"/>
                </a:pPr>
                <a:r>
                  <a:rPr lang="en-US"/>
                  <a:t>Uke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351007"/>
        <c:crosses val="autoZero"/>
        <c:crossBetween val="midCat"/>
        <c:majorUnit val="3"/>
      </c:valAx>
      <c:valAx>
        <c:axId val="1870351007"/>
        <c:scaling>
          <c:orientation val="minMax"/>
          <c:max val="4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100" b="1"/>
                </a:pPr>
                <a:r>
                  <a:rPr lang="en-US"/>
                  <a:t>Flytegrense (0,2%) [MPa]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350527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ln w="6350">
      <a:solidFill>
        <a:schemeClr val="tx1">
          <a:tint val="75000"/>
        </a:schemeClr>
      </a:solidFill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Strekkfasthet mot uke (PETG 60 °C)</a:t>
            </a:r>
          </a:p>
        </c:rich>
      </c:tx>
      <c:layout>
        <c:manualLayout>
          <c:xMode val="edge"/>
          <c:yMode val="edge"/>
          <c:x val="0.23478491114536609"/>
          <c:y val="3.70371866871828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Tørr</c:v>
          </c:tx>
          <c:spPr>
            <a:ln w="12700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diamond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PETG!$V$52:$V$56</c:f>
                <c:numCache>
                  <c:formatCode>General</c:formatCode>
                  <c:ptCount val="5"/>
                  <c:pt idx="0">
                    <c:v>0.3175</c:v>
                  </c:pt>
                  <c:pt idx="1">
                    <c:v>0.88</c:v>
                  </c:pt>
                  <c:pt idx="2">
                    <c:v>1.3149999999999999</c:v>
                  </c:pt>
                  <c:pt idx="3">
                    <c:v>0.76</c:v>
                  </c:pt>
                  <c:pt idx="4">
                    <c:v>1.6850000000000001</c:v>
                  </c:pt>
                </c:numCache>
              </c:numRef>
            </c:plus>
            <c:minus>
              <c:numRef>
                <c:f>PETG!$V$52:$V$56</c:f>
                <c:numCache>
                  <c:formatCode>General</c:formatCode>
                  <c:ptCount val="5"/>
                  <c:pt idx="0">
                    <c:v>0.3175</c:v>
                  </c:pt>
                  <c:pt idx="1">
                    <c:v>0.88</c:v>
                  </c:pt>
                  <c:pt idx="2">
                    <c:v>1.3149999999999999</c:v>
                  </c:pt>
                  <c:pt idx="3">
                    <c:v>0.76</c:v>
                  </c:pt>
                  <c:pt idx="4">
                    <c:v>1.6850000000000001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PETG!$A$52:$A$56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PETG!$T$52:$T$56</c:f>
              <c:numCache>
                <c:formatCode>0.00</c:formatCode>
                <c:ptCount val="5"/>
                <c:pt idx="0">
                  <c:v>43</c:v>
                </c:pt>
                <c:pt idx="1">
                  <c:v>48.5</c:v>
                </c:pt>
                <c:pt idx="2">
                  <c:v>49.8</c:v>
                </c:pt>
                <c:pt idx="3">
                  <c:v>46.9</c:v>
                </c:pt>
                <c:pt idx="4">
                  <c:v>40.6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85-4CB0-98EF-3D8B7CD4DDB7}"/>
            </c:ext>
          </c:extLst>
        </c:ser>
        <c:ser>
          <c:idx val="1"/>
          <c:order val="1"/>
          <c:tx>
            <c:v>Våt</c:v>
          </c:tx>
          <c:spPr>
            <a:ln w="12700" cap="rnd">
              <a:solidFill>
                <a:srgbClr val="FF4040"/>
              </a:solidFill>
              <a:prstDash val="lgDash"/>
              <a:round/>
            </a:ln>
            <a:effectLst/>
          </c:spPr>
          <c:marker>
            <c:symbol val="diamond"/>
            <c:size val="5"/>
            <c:spPr>
              <a:solidFill>
                <a:srgbClr val="FF4040"/>
              </a:solidFill>
              <a:ln w="9525">
                <a:solidFill>
                  <a:srgbClr val="FF4040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PETG!$J$52:$J$56</c:f>
                <c:numCache>
                  <c:formatCode>General</c:formatCode>
                  <c:ptCount val="5"/>
                  <c:pt idx="0">
                    <c:v>0.3175</c:v>
                  </c:pt>
                  <c:pt idx="1">
                    <c:v>0.41249999999999998</c:v>
                  </c:pt>
                  <c:pt idx="2">
                    <c:v>0.38700000000000001</c:v>
                  </c:pt>
                  <c:pt idx="3">
                    <c:v>0.73</c:v>
                  </c:pt>
                  <c:pt idx="4">
                    <c:v>0.77</c:v>
                  </c:pt>
                </c:numCache>
              </c:numRef>
            </c:plus>
            <c:minus>
              <c:numRef>
                <c:f>PETG!$J$52:$J$56</c:f>
                <c:numCache>
                  <c:formatCode>General</c:formatCode>
                  <c:ptCount val="5"/>
                  <c:pt idx="0">
                    <c:v>0.3175</c:v>
                  </c:pt>
                  <c:pt idx="1">
                    <c:v>0.41249999999999998</c:v>
                  </c:pt>
                  <c:pt idx="2">
                    <c:v>0.38700000000000001</c:v>
                  </c:pt>
                  <c:pt idx="3">
                    <c:v>0.73</c:v>
                  </c:pt>
                  <c:pt idx="4">
                    <c:v>0.77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PETG!$A$52:$A$56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PETG!$H$52:$H$56</c:f>
              <c:numCache>
                <c:formatCode>0.00</c:formatCode>
                <c:ptCount val="5"/>
                <c:pt idx="0">
                  <c:v>43</c:v>
                </c:pt>
                <c:pt idx="1">
                  <c:v>45.6</c:v>
                </c:pt>
                <c:pt idx="2">
                  <c:v>43.4</c:v>
                </c:pt>
                <c:pt idx="3">
                  <c:v>49.1</c:v>
                </c:pt>
                <c:pt idx="4">
                  <c:v>48.3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85-4CB0-98EF-3D8B7CD4D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0350527"/>
        <c:axId val="1870351007"/>
      </c:scatterChart>
      <c:valAx>
        <c:axId val="1870350527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Uke</a:t>
                </a:r>
              </a:p>
            </c:rich>
          </c:tx>
          <c:overlay val="0"/>
          <c:spPr>
            <a:noFill/>
            <a:ln w="6350"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351007"/>
        <c:crosses val="autoZero"/>
        <c:crossBetween val="midCat"/>
        <c:majorUnit val="3"/>
      </c:valAx>
      <c:valAx>
        <c:axId val="1870351007"/>
        <c:scaling>
          <c:orientation val="minMax"/>
          <c:max val="6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Strekkfasthet [MPa]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350527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Tøyning mot uke (PETG 60 °C)</a:t>
            </a:r>
          </a:p>
        </c:rich>
      </c:tx>
      <c:layout>
        <c:manualLayout>
          <c:xMode val="edge"/>
          <c:yMode val="edge"/>
          <c:x val="0.23478491114536609"/>
          <c:y val="3.70371866871828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Tørr</c:v>
          </c:tx>
          <c:spPr>
            <a:ln w="12700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diamond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PETG!$Y$52:$Y$56</c:f>
                <c:numCache>
                  <c:formatCode>General</c:formatCode>
                  <c:ptCount val="5"/>
                  <c:pt idx="0">
                    <c:v>8.5999999999999993E-2</c:v>
                  </c:pt>
                  <c:pt idx="1">
                    <c:v>8.1999999999999993</c:v>
                  </c:pt>
                  <c:pt idx="2">
                    <c:v>0.45300000000000001</c:v>
                  </c:pt>
                  <c:pt idx="3">
                    <c:v>4.83</c:v>
                  </c:pt>
                  <c:pt idx="4">
                    <c:v>0.51</c:v>
                  </c:pt>
                </c:numCache>
              </c:numRef>
            </c:plus>
            <c:minus>
              <c:numRef>
                <c:f>PETG!$Y$52:$Y$56</c:f>
                <c:numCache>
                  <c:formatCode>General</c:formatCode>
                  <c:ptCount val="5"/>
                  <c:pt idx="0">
                    <c:v>8.5999999999999993E-2</c:v>
                  </c:pt>
                  <c:pt idx="1">
                    <c:v>8.1999999999999993</c:v>
                  </c:pt>
                  <c:pt idx="2">
                    <c:v>0.45300000000000001</c:v>
                  </c:pt>
                  <c:pt idx="3">
                    <c:v>4.83</c:v>
                  </c:pt>
                  <c:pt idx="4">
                    <c:v>0.51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PETG!$A$52:$A$56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PETG!$W$52:$W$56</c:f>
              <c:numCache>
                <c:formatCode>0.00</c:formatCode>
                <c:ptCount val="5"/>
                <c:pt idx="0">
                  <c:v>11.2</c:v>
                </c:pt>
                <c:pt idx="1">
                  <c:v>25.7</c:v>
                </c:pt>
                <c:pt idx="2">
                  <c:v>13</c:v>
                </c:pt>
                <c:pt idx="3">
                  <c:v>16.3</c:v>
                </c:pt>
                <c:pt idx="4">
                  <c:v>10.1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E9-4FB7-8979-6F9622F13489}"/>
            </c:ext>
          </c:extLst>
        </c:ser>
        <c:ser>
          <c:idx val="1"/>
          <c:order val="1"/>
          <c:tx>
            <c:v>Våt</c:v>
          </c:tx>
          <c:spPr>
            <a:ln w="12700" cap="rnd">
              <a:solidFill>
                <a:srgbClr val="FF4040"/>
              </a:solidFill>
              <a:prstDash val="lgDash"/>
              <a:round/>
            </a:ln>
            <a:effectLst/>
          </c:spPr>
          <c:marker>
            <c:symbol val="diamond"/>
            <c:size val="5"/>
            <c:spPr>
              <a:solidFill>
                <a:srgbClr val="FF4040"/>
              </a:solidFill>
              <a:ln w="19050">
                <a:solidFill>
                  <a:srgbClr val="FF4040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PETG!$M$52:$M$56</c:f>
                <c:numCache>
                  <c:formatCode>General</c:formatCode>
                  <c:ptCount val="5"/>
                  <c:pt idx="0">
                    <c:v>8.5999999999999993E-2</c:v>
                  </c:pt>
                  <c:pt idx="1">
                    <c:v>48.1</c:v>
                  </c:pt>
                  <c:pt idx="2">
                    <c:v>24.75</c:v>
                  </c:pt>
                  <c:pt idx="3">
                    <c:v>5.5</c:v>
                  </c:pt>
                  <c:pt idx="4">
                    <c:v>6.6</c:v>
                  </c:pt>
                </c:numCache>
              </c:numRef>
            </c:plus>
            <c:minus>
              <c:numRef>
                <c:f>PETG!$M$52:$M$56</c:f>
                <c:numCache>
                  <c:formatCode>General</c:formatCode>
                  <c:ptCount val="5"/>
                  <c:pt idx="0">
                    <c:v>8.5999999999999993E-2</c:v>
                  </c:pt>
                  <c:pt idx="1">
                    <c:v>48.1</c:v>
                  </c:pt>
                  <c:pt idx="2">
                    <c:v>24.75</c:v>
                  </c:pt>
                  <c:pt idx="3">
                    <c:v>5.5</c:v>
                  </c:pt>
                  <c:pt idx="4">
                    <c:v>6.6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PETG!$A$52:$A$56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PETG!$K$52:$K$56</c:f>
              <c:numCache>
                <c:formatCode>0.00</c:formatCode>
                <c:ptCount val="5"/>
                <c:pt idx="0">
                  <c:v>11.2</c:v>
                </c:pt>
                <c:pt idx="1">
                  <c:v>68.099999999999994</c:v>
                </c:pt>
                <c:pt idx="2">
                  <c:v>34.6</c:v>
                </c:pt>
                <c:pt idx="3">
                  <c:v>19.3</c:v>
                </c:pt>
                <c:pt idx="4">
                  <c:v>17.899999999999999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E9-4FB7-8979-6F9622F134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0350527"/>
        <c:axId val="1870351007"/>
      </c:scatterChart>
      <c:valAx>
        <c:axId val="1870350527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Uke</a:t>
                </a:r>
              </a:p>
            </c:rich>
          </c:tx>
          <c:overlay val="0"/>
          <c:spPr>
            <a:noFill/>
            <a:ln w="6350"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351007"/>
        <c:crosses val="autoZero"/>
        <c:crossBetween val="midCat"/>
        <c:majorUnit val="3"/>
      </c:valAx>
      <c:valAx>
        <c:axId val="1870351007"/>
        <c:scaling>
          <c:orientation val="minMax"/>
          <c:max val="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Tøyning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350527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Strekkfasthet mot uke (PETG 20–40–60 °C)</a:t>
            </a:r>
          </a:p>
        </c:rich>
      </c:tx>
      <c:layout>
        <c:manualLayout>
          <c:xMode val="edge"/>
          <c:yMode val="edge"/>
          <c:x val="0.23478491114536609"/>
          <c:y val="3.70371866871828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Tørr 60 °C</c:v>
          </c:tx>
          <c:spPr>
            <a:ln w="12700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diamond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PETG!$A$52:$A$56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PETG!$T$52:$T$56</c:f>
              <c:numCache>
                <c:formatCode>0.00</c:formatCode>
                <c:ptCount val="5"/>
                <c:pt idx="0">
                  <c:v>43</c:v>
                </c:pt>
                <c:pt idx="1">
                  <c:v>48.5</c:v>
                </c:pt>
                <c:pt idx="2">
                  <c:v>49.8</c:v>
                </c:pt>
                <c:pt idx="3">
                  <c:v>46.9</c:v>
                </c:pt>
                <c:pt idx="4">
                  <c:v>40.6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01-406E-BC14-18BAD7659D11}"/>
            </c:ext>
          </c:extLst>
        </c:ser>
        <c:ser>
          <c:idx val="1"/>
          <c:order val="1"/>
          <c:tx>
            <c:v>Våt 60 °C</c:v>
          </c:tx>
          <c:spPr>
            <a:ln w="12700" cap="rnd">
              <a:solidFill>
                <a:srgbClr val="FF4040"/>
              </a:solidFill>
              <a:prstDash val="lgDash"/>
              <a:round/>
            </a:ln>
            <a:effectLst/>
          </c:spPr>
          <c:marker>
            <c:symbol val="diamond"/>
            <c:size val="5"/>
            <c:spPr>
              <a:solidFill>
                <a:srgbClr val="FF4040"/>
              </a:solidFill>
              <a:ln w="9525">
                <a:solidFill>
                  <a:srgbClr val="FF4040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PETG!$J$52:$J$56</c:f>
                <c:numCache>
                  <c:formatCode>General</c:formatCode>
                  <c:ptCount val="5"/>
                  <c:pt idx="0">
                    <c:v>0.3175</c:v>
                  </c:pt>
                  <c:pt idx="1">
                    <c:v>0.41249999999999998</c:v>
                  </c:pt>
                  <c:pt idx="2">
                    <c:v>0.38700000000000001</c:v>
                  </c:pt>
                  <c:pt idx="3">
                    <c:v>0.73</c:v>
                  </c:pt>
                  <c:pt idx="4">
                    <c:v>0.77</c:v>
                  </c:pt>
                </c:numCache>
              </c:numRef>
            </c:plus>
            <c:minus>
              <c:numRef>
                <c:f>PETG!$J$52:$J$56</c:f>
                <c:numCache>
                  <c:formatCode>General</c:formatCode>
                  <c:ptCount val="5"/>
                  <c:pt idx="0">
                    <c:v>0.3175</c:v>
                  </c:pt>
                  <c:pt idx="1">
                    <c:v>0.41249999999999998</c:v>
                  </c:pt>
                  <c:pt idx="2">
                    <c:v>0.38700000000000001</c:v>
                  </c:pt>
                  <c:pt idx="3">
                    <c:v>0.73</c:v>
                  </c:pt>
                  <c:pt idx="4">
                    <c:v>0.77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PETG!$A$52:$A$56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PETG!$H$52:$H$56</c:f>
              <c:numCache>
                <c:formatCode>0.00</c:formatCode>
                <c:ptCount val="5"/>
                <c:pt idx="0">
                  <c:v>43</c:v>
                </c:pt>
                <c:pt idx="1">
                  <c:v>45.6</c:v>
                </c:pt>
                <c:pt idx="2">
                  <c:v>43.4</c:v>
                </c:pt>
                <c:pt idx="3">
                  <c:v>49.1</c:v>
                </c:pt>
                <c:pt idx="4">
                  <c:v>48.3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D01-406E-BC14-18BAD7659D11}"/>
            </c:ext>
          </c:extLst>
        </c:ser>
        <c:ser>
          <c:idx val="2"/>
          <c:order val="2"/>
          <c:tx>
            <c:v>Tørr 40 °C</c:v>
          </c:tx>
          <c:spPr>
            <a:ln w="12700" cap="rnd">
              <a:solidFill>
                <a:srgbClr val="375623"/>
              </a:solidFill>
              <a:prstDash val="solid"/>
              <a:round/>
            </a:ln>
            <a:effectLst/>
          </c:spPr>
          <c:marker>
            <c:symbol val="triangle"/>
            <c:size val="5"/>
            <c:spPr>
              <a:solidFill>
                <a:srgbClr val="375623"/>
              </a:solidFill>
              <a:ln w="9525">
                <a:solidFill>
                  <a:srgbClr val="375623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PETG!$A$28:$A$32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PETG!$T$28:$T$32</c:f>
              <c:numCache>
                <c:formatCode>0.00</c:formatCode>
                <c:ptCount val="5"/>
                <c:pt idx="0">
                  <c:v>43</c:v>
                </c:pt>
                <c:pt idx="1">
                  <c:v>53.7</c:v>
                </c:pt>
                <c:pt idx="2">
                  <c:v>56.2</c:v>
                </c:pt>
                <c:pt idx="3">
                  <c:v>53.1</c:v>
                </c:pt>
                <c:pt idx="4">
                  <c:v>40.5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D01-406E-BC14-18BAD7659D11}"/>
            </c:ext>
          </c:extLst>
        </c:ser>
        <c:ser>
          <c:idx val="3"/>
          <c:order val="3"/>
          <c:tx>
            <c:v>Våt 40 °C</c:v>
          </c:tx>
          <c:spPr>
            <a:ln w="12700" cap="rnd">
              <a:solidFill>
                <a:srgbClr val="70AD47"/>
              </a:solidFill>
              <a:prstDash val="lgDash"/>
              <a:round/>
            </a:ln>
            <a:effectLst/>
          </c:spPr>
          <c:marker>
            <c:symbol val="triangle"/>
            <c:size val="5"/>
            <c:spPr>
              <a:solidFill>
                <a:srgbClr val="70AD47"/>
              </a:solidFill>
              <a:ln w="9525">
                <a:solidFill>
                  <a:srgbClr val="70AD47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PETG!$A$28:$A$32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PETG!$H$28:$H$32</c:f>
              <c:numCache>
                <c:formatCode>0.00</c:formatCode>
                <c:ptCount val="5"/>
                <c:pt idx="0">
                  <c:v>43</c:v>
                </c:pt>
                <c:pt idx="1">
                  <c:v>52.4</c:v>
                </c:pt>
                <c:pt idx="2">
                  <c:v>51.1</c:v>
                </c:pt>
                <c:pt idx="3">
                  <c:v>54.2</c:v>
                </c:pt>
                <c:pt idx="4">
                  <c:v>41.9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D01-406E-BC14-18BAD7659D11}"/>
            </c:ext>
          </c:extLst>
        </c:ser>
        <c:ser>
          <c:idx val="4"/>
          <c:order val="4"/>
          <c:tx>
            <c:v>Tørr 20 °C</c:v>
          </c:tx>
          <c:spPr>
            <a:ln w="12700" cap="rnd">
              <a:solidFill>
                <a:srgbClr val="1F4E79"/>
              </a:solidFill>
              <a:prstDash val="solid"/>
              <a:round/>
            </a:ln>
            <a:effectLst/>
          </c:spPr>
          <c:marker>
            <c:symbol val="square"/>
            <c:size val="5"/>
            <c:spPr>
              <a:solidFill>
                <a:srgbClr val="1F4E79"/>
              </a:solidFill>
              <a:ln w="9525">
                <a:solidFill>
                  <a:srgbClr val="1F4E79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PETG!$A$4:$A$8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PETG!$T$4:$T$8</c:f>
              <c:numCache>
                <c:formatCode>0.00</c:formatCode>
                <c:ptCount val="5"/>
                <c:pt idx="0">
                  <c:v>43</c:v>
                </c:pt>
                <c:pt idx="1">
                  <c:v>48</c:v>
                </c:pt>
                <c:pt idx="2">
                  <c:v>46.6</c:v>
                </c:pt>
                <c:pt idx="3">
                  <c:v>47.5</c:v>
                </c:pt>
                <c:pt idx="4">
                  <c:v>38.200000000000003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D01-406E-BC14-18BAD7659D11}"/>
            </c:ext>
          </c:extLst>
        </c:ser>
        <c:ser>
          <c:idx val="5"/>
          <c:order val="5"/>
          <c:tx>
            <c:v>Våt 20 °C</c:v>
          </c:tx>
          <c:spPr>
            <a:ln w="12700" cap="rnd">
              <a:solidFill>
                <a:srgbClr val="5B9BD5"/>
              </a:solidFill>
              <a:prstDash val="lgDash"/>
              <a:round/>
            </a:ln>
            <a:effectLst/>
          </c:spPr>
          <c:marker>
            <c:symbol val="square"/>
            <c:size val="5"/>
            <c:spPr>
              <a:solidFill>
                <a:srgbClr val="5B9BD5"/>
              </a:solidFill>
              <a:ln w="9525">
                <a:solidFill>
                  <a:srgbClr val="5B9BD5"/>
                </a:solidFill>
                <a:prstDash val="solid"/>
              </a:ln>
              <a:effectLst/>
            </c:spPr>
          </c:marker>
          <c:dPt>
            <c:idx val="1"/>
            <c:marker>
              <c:symbol val="square"/>
              <c:size val="5"/>
              <c:spPr>
                <a:solidFill>
                  <a:srgbClr val="5B9BD5"/>
                </a:solidFill>
                <a:ln w="9525">
                  <a:solidFill>
                    <a:srgbClr val="5B9BD5"/>
                  </a:solidFill>
                  <a:prstDash val="solid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8D01-406E-BC14-18BAD7659D11}"/>
              </c:ext>
            </c:extLst>
          </c:dPt>
          <c:dPt>
            <c:idx val="2"/>
            <c:marker>
              <c:symbol val="square"/>
              <c:size val="5"/>
              <c:spPr>
                <a:solidFill>
                  <a:srgbClr val="5B9BD5"/>
                </a:solidFill>
                <a:ln w="9525">
                  <a:solidFill>
                    <a:srgbClr val="5B9BD5"/>
                  </a:solidFill>
                  <a:prstDash val="solid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8D01-406E-BC14-18BAD7659D11}"/>
              </c:ext>
            </c:extLst>
          </c:dPt>
          <c:errBars>
            <c:errDir val="y"/>
            <c:errBarType val="both"/>
            <c:errValType val="cust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PETG!$A$4:$A$8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PETG!$H$4:$H$8</c:f>
              <c:numCache>
                <c:formatCode>0.00</c:formatCode>
                <c:ptCount val="5"/>
                <c:pt idx="0">
                  <c:v>43</c:v>
                </c:pt>
                <c:pt idx="1">
                  <c:v>46.1</c:v>
                </c:pt>
                <c:pt idx="2">
                  <c:v>44.2</c:v>
                </c:pt>
                <c:pt idx="3">
                  <c:v>47.5</c:v>
                </c:pt>
                <c:pt idx="4">
                  <c:v>37.299999999999997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D01-406E-BC14-18BAD7659D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0350527"/>
        <c:axId val="1870351007"/>
      </c:scatterChart>
      <c:valAx>
        <c:axId val="1870350527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Uke</a:t>
                </a:r>
              </a:p>
            </c:rich>
          </c:tx>
          <c:overlay val="0"/>
          <c:spPr>
            <a:noFill/>
            <a:ln w="6350"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351007"/>
        <c:crosses val="autoZero"/>
        <c:crossBetween val="midCat"/>
        <c:majorUnit val="3"/>
      </c:valAx>
      <c:valAx>
        <c:axId val="1870351007"/>
        <c:scaling>
          <c:orientation val="minMax"/>
          <c:max val="6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Strekkfasthet [MPa]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350527"/>
        <c:crosses val="autoZero"/>
        <c:crossBetween val="midCat"/>
        <c:majorUnit val="10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Elastisitetsmodul mot uke (PETG 20–40–60 °C)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Tørr 60 °C</c:v>
          </c:tx>
          <c:spPr>
            <a:ln w="12700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diamond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PETG!$A$52:$A$56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PETG!$N$52:$N$56</c:f>
              <c:numCache>
                <c:formatCode>0.00</c:formatCode>
                <c:ptCount val="5"/>
                <c:pt idx="0">
                  <c:v>862</c:v>
                </c:pt>
                <c:pt idx="1">
                  <c:v>665</c:v>
                </c:pt>
                <c:pt idx="2">
                  <c:v>824</c:v>
                </c:pt>
                <c:pt idx="3">
                  <c:v>830</c:v>
                </c:pt>
                <c:pt idx="4">
                  <c:v>539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3E2-41C5-8394-6D708FC84334}"/>
            </c:ext>
          </c:extLst>
        </c:ser>
        <c:ser>
          <c:idx val="1"/>
          <c:order val="1"/>
          <c:tx>
            <c:v>Våt 60 °C</c:v>
          </c:tx>
          <c:spPr>
            <a:ln w="12700" cap="rnd">
              <a:solidFill>
                <a:srgbClr val="FF4040"/>
              </a:solidFill>
              <a:prstDash val="lgDash"/>
              <a:round/>
            </a:ln>
            <a:effectLst/>
          </c:spPr>
          <c:marker>
            <c:symbol val="diamond"/>
            <c:size val="5"/>
            <c:spPr>
              <a:solidFill>
                <a:srgbClr val="FF4040"/>
              </a:solidFill>
              <a:ln w="9525">
                <a:solidFill>
                  <a:srgbClr val="FF4040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PETG!$A$52:$A$56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PETG!$B$52:$B$56</c:f>
              <c:numCache>
                <c:formatCode>0.00</c:formatCode>
                <c:ptCount val="5"/>
                <c:pt idx="0">
                  <c:v>862</c:v>
                </c:pt>
                <c:pt idx="1">
                  <c:v>515</c:v>
                </c:pt>
                <c:pt idx="2">
                  <c:v>768</c:v>
                </c:pt>
                <c:pt idx="3">
                  <c:v>735</c:v>
                </c:pt>
                <c:pt idx="4">
                  <c:v>817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3E2-41C5-8394-6D708FC84334}"/>
            </c:ext>
          </c:extLst>
        </c:ser>
        <c:ser>
          <c:idx val="2"/>
          <c:order val="2"/>
          <c:tx>
            <c:v>Tørr 40 °C</c:v>
          </c:tx>
          <c:spPr>
            <a:ln w="12700" cap="rnd">
              <a:solidFill>
                <a:srgbClr val="375623"/>
              </a:solidFill>
              <a:prstDash val="solid"/>
              <a:round/>
            </a:ln>
            <a:effectLst/>
          </c:spPr>
          <c:marker>
            <c:symbol val="triangle"/>
            <c:size val="5"/>
            <c:spPr>
              <a:solidFill>
                <a:srgbClr val="375623"/>
              </a:solidFill>
              <a:ln w="9525">
                <a:solidFill>
                  <a:srgbClr val="375623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PETG!$A$28:$A$32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PETG!$N$28:$N$32</c:f>
              <c:numCache>
                <c:formatCode>0.00</c:formatCode>
                <c:ptCount val="5"/>
                <c:pt idx="0">
                  <c:v>862</c:v>
                </c:pt>
                <c:pt idx="1">
                  <c:v>565</c:v>
                </c:pt>
                <c:pt idx="2">
                  <c:v>790</c:v>
                </c:pt>
                <c:pt idx="3">
                  <c:v>913</c:v>
                </c:pt>
                <c:pt idx="4">
                  <c:v>559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3E2-41C5-8394-6D708FC84334}"/>
            </c:ext>
          </c:extLst>
        </c:ser>
        <c:ser>
          <c:idx val="3"/>
          <c:order val="3"/>
          <c:tx>
            <c:v>Våt 40 °C</c:v>
          </c:tx>
          <c:spPr>
            <a:ln w="12700" cap="rnd">
              <a:solidFill>
                <a:srgbClr val="70AD47"/>
              </a:solidFill>
              <a:prstDash val="lgDash"/>
              <a:round/>
            </a:ln>
            <a:effectLst/>
          </c:spPr>
          <c:marker>
            <c:symbol val="triangle"/>
            <c:size val="5"/>
            <c:spPr>
              <a:solidFill>
                <a:srgbClr val="70AD47"/>
              </a:solidFill>
              <a:ln w="9525">
                <a:solidFill>
                  <a:srgbClr val="70AD47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PETG!$A$28:$A$32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PETG!$B$28:$B$32</c:f>
              <c:numCache>
                <c:formatCode>0.00</c:formatCode>
                <c:ptCount val="5"/>
                <c:pt idx="0">
                  <c:v>862</c:v>
                </c:pt>
                <c:pt idx="1">
                  <c:v>776</c:v>
                </c:pt>
                <c:pt idx="2">
                  <c:v>825</c:v>
                </c:pt>
                <c:pt idx="3">
                  <c:v>804</c:v>
                </c:pt>
                <c:pt idx="4">
                  <c:v>526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3E2-41C5-8394-6D708FC84334}"/>
            </c:ext>
          </c:extLst>
        </c:ser>
        <c:ser>
          <c:idx val="4"/>
          <c:order val="4"/>
          <c:tx>
            <c:v>Tørr 20 °C</c:v>
          </c:tx>
          <c:spPr>
            <a:ln w="12700" cap="rnd">
              <a:solidFill>
                <a:srgbClr val="1F4E79"/>
              </a:solidFill>
              <a:prstDash val="solid"/>
              <a:round/>
            </a:ln>
            <a:effectLst/>
          </c:spPr>
          <c:marker>
            <c:symbol val="square"/>
            <c:size val="5"/>
            <c:spPr>
              <a:solidFill>
                <a:srgbClr val="1F4E79"/>
              </a:solidFill>
              <a:ln w="9525">
                <a:solidFill>
                  <a:srgbClr val="1F4E79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PETG!$A$4:$A$8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PETG!$N$4:$N$8</c:f>
              <c:numCache>
                <c:formatCode>0.00</c:formatCode>
                <c:ptCount val="5"/>
                <c:pt idx="0">
                  <c:v>862</c:v>
                </c:pt>
                <c:pt idx="1">
                  <c:v>645</c:v>
                </c:pt>
                <c:pt idx="2">
                  <c:v>820</c:v>
                </c:pt>
                <c:pt idx="3">
                  <c:v>863</c:v>
                </c:pt>
                <c:pt idx="4">
                  <c:v>511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3E2-41C5-8394-6D708FC84334}"/>
            </c:ext>
          </c:extLst>
        </c:ser>
        <c:ser>
          <c:idx val="5"/>
          <c:order val="5"/>
          <c:tx>
            <c:v>Våt 20 °C</c:v>
          </c:tx>
          <c:spPr>
            <a:ln w="12700" cap="rnd">
              <a:solidFill>
                <a:srgbClr val="5B9BD5"/>
              </a:solidFill>
              <a:prstDash val="lgDash"/>
              <a:round/>
            </a:ln>
            <a:effectLst/>
          </c:spPr>
          <c:marker>
            <c:symbol val="square"/>
            <c:size val="5"/>
            <c:spPr>
              <a:solidFill>
                <a:srgbClr val="5B9BD5"/>
              </a:solidFill>
              <a:ln w="9525">
                <a:solidFill>
                  <a:srgbClr val="5B9BD5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PETG!$A$4:$A$8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PETG!$B$4:$B$8</c:f>
              <c:numCache>
                <c:formatCode>0.00</c:formatCode>
                <c:ptCount val="5"/>
                <c:pt idx="0">
                  <c:v>862</c:v>
                </c:pt>
                <c:pt idx="1">
                  <c:v>771</c:v>
                </c:pt>
                <c:pt idx="2">
                  <c:v>895</c:v>
                </c:pt>
                <c:pt idx="3">
                  <c:v>827</c:v>
                </c:pt>
                <c:pt idx="4">
                  <c:v>485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3E2-41C5-8394-6D708FC843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2660031"/>
        <c:axId val="362660991"/>
      </c:scatterChart>
      <c:valAx>
        <c:axId val="362660031"/>
        <c:scaling>
          <c:orientation val="minMax"/>
          <c:max val="1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Uke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660991"/>
        <c:crosses val="autoZero"/>
        <c:crossBetween val="midCat"/>
        <c:majorUnit val="3"/>
      </c:valAx>
      <c:valAx>
        <c:axId val="362660991"/>
        <c:scaling>
          <c:orientation val="minMax"/>
          <c:max val="16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Elastisitetsmodul [MPa]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6600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Flytespenning mot uke (PETG 20–40–60 °C)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Tørr 60 °C</c:v>
          </c:tx>
          <c:spPr>
            <a:ln w="12700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diamond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PETG!$A$52:$A$56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PETG!$Q$52:$Q$56</c:f>
              <c:numCache>
                <c:formatCode>0.00</c:formatCode>
                <c:ptCount val="5"/>
                <c:pt idx="0">
                  <c:v>16.3</c:v>
                </c:pt>
                <c:pt idx="1">
                  <c:v>14.5</c:v>
                </c:pt>
                <c:pt idx="2">
                  <c:v>18.100000000000001</c:v>
                </c:pt>
                <c:pt idx="3">
                  <c:v>16.600000000000001</c:v>
                </c:pt>
                <c:pt idx="4">
                  <c:v>9.24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A9-4BAF-8D86-4A82738C193D}"/>
            </c:ext>
          </c:extLst>
        </c:ser>
        <c:ser>
          <c:idx val="1"/>
          <c:order val="1"/>
          <c:tx>
            <c:v>Våt 60 °C</c:v>
          </c:tx>
          <c:spPr>
            <a:ln w="12700" cap="rnd">
              <a:solidFill>
                <a:srgbClr val="FF4040"/>
              </a:solidFill>
              <a:prstDash val="lgDash"/>
              <a:round/>
            </a:ln>
            <a:effectLst/>
          </c:spPr>
          <c:marker>
            <c:symbol val="diamond"/>
            <c:size val="5"/>
            <c:spPr>
              <a:solidFill>
                <a:srgbClr val="FF4040"/>
              </a:solidFill>
              <a:ln w="9525">
                <a:solidFill>
                  <a:srgbClr val="FF4040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PETG!$A$52:$A$56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PETG!$E$52:$E$56</c:f>
              <c:numCache>
                <c:formatCode>0.00</c:formatCode>
                <c:ptCount val="5"/>
                <c:pt idx="0">
                  <c:v>16.3</c:v>
                </c:pt>
                <c:pt idx="1">
                  <c:v>15.2</c:v>
                </c:pt>
                <c:pt idx="2">
                  <c:v>14.6</c:v>
                </c:pt>
                <c:pt idx="3">
                  <c:v>17.399999999999999</c:v>
                </c:pt>
                <c:pt idx="4">
                  <c:v>16.2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A9-4BAF-8D86-4A82738C193D}"/>
            </c:ext>
          </c:extLst>
        </c:ser>
        <c:ser>
          <c:idx val="2"/>
          <c:order val="2"/>
          <c:tx>
            <c:v>Tørr 40 °C</c:v>
          </c:tx>
          <c:spPr>
            <a:ln w="12700" cap="rnd">
              <a:solidFill>
                <a:srgbClr val="375623"/>
              </a:solidFill>
              <a:prstDash val="solid"/>
              <a:round/>
            </a:ln>
            <a:effectLst/>
          </c:spPr>
          <c:marker>
            <c:symbol val="triangle"/>
            <c:size val="5"/>
            <c:spPr>
              <a:solidFill>
                <a:srgbClr val="375623"/>
              </a:solidFill>
              <a:ln w="9525">
                <a:solidFill>
                  <a:srgbClr val="375623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PETG!$A$28:$A$32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PETG!$Q$28:$Q$32</c:f>
              <c:numCache>
                <c:formatCode>0.00</c:formatCode>
                <c:ptCount val="5"/>
                <c:pt idx="0">
                  <c:v>16.3</c:v>
                </c:pt>
                <c:pt idx="1">
                  <c:v>18</c:v>
                </c:pt>
                <c:pt idx="2">
                  <c:v>17.399999999999999</c:v>
                </c:pt>
                <c:pt idx="3">
                  <c:v>15.9</c:v>
                </c:pt>
                <c:pt idx="4">
                  <c:v>5.98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A9-4BAF-8D86-4A82738C193D}"/>
            </c:ext>
          </c:extLst>
        </c:ser>
        <c:ser>
          <c:idx val="3"/>
          <c:order val="3"/>
          <c:tx>
            <c:v>Våt 40 °C</c:v>
          </c:tx>
          <c:spPr>
            <a:ln w="12700" cap="rnd">
              <a:solidFill>
                <a:srgbClr val="70AD47"/>
              </a:solidFill>
              <a:prstDash val="lgDash"/>
              <a:round/>
            </a:ln>
            <a:effectLst/>
          </c:spPr>
          <c:marker>
            <c:symbol val="triangle"/>
            <c:size val="5"/>
            <c:spPr>
              <a:solidFill>
                <a:srgbClr val="70AD47"/>
              </a:solidFill>
              <a:ln w="9525">
                <a:solidFill>
                  <a:srgbClr val="70AD47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PETG!$A$28:$A$32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PETG!$E$28:$E$32</c:f>
              <c:numCache>
                <c:formatCode>0.00</c:formatCode>
                <c:ptCount val="5"/>
                <c:pt idx="0">
                  <c:v>16.3</c:v>
                </c:pt>
                <c:pt idx="1">
                  <c:v>16</c:v>
                </c:pt>
                <c:pt idx="2">
                  <c:v>17.3</c:v>
                </c:pt>
                <c:pt idx="3">
                  <c:v>18.100000000000001</c:v>
                </c:pt>
                <c:pt idx="4">
                  <c:v>7.34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A9-4BAF-8D86-4A82738C193D}"/>
            </c:ext>
          </c:extLst>
        </c:ser>
        <c:ser>
          <c:idx val="4"/>
          <c:order val="4"/>
          <c:tx>
            <c:v>Tørr 20 °C</c:v>
          </c:tx>
          <c:spPr>
            <a:ln w="12700" cap="rnd">
              <a:solidFill>
                <a:srgbClr val="1F4E79"/>
              </a:solidFill>
              <a:prstDash val="solid"/>
              <a:round/>
            </a:ln>
            <a:effectLst/>
          </c:spPr>
          <c:marker>
            <c:symbol val="square"/>
            <c:size val="5"/>
            <c:spPr>
              <a:solidFill>
                <a:srgbClr val="1F4E79"/>
              </a:solidFill>
              <a:ln w="9525">
                <a:solidFill>
                  <a:srgbClr val="1F4E79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PETG!$A$4:$A$8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PETG!$Q$4:$Q$8</c:f>
              <c:numCache>
                <c:formatCode>0.00</c:formatCode>
                <c:ptCount val="5"/>
                <c:pt idx="0">
                  <c:v>16.3</c:v>
                </c:pt>
                <c:pt idx="1">
                  <c:v>14.4</c:v>
                </c:pt>
                <c:pt idx="2">
                  <c:v>15.3</c:v>
                </c:pt>
                <c:pt idx="3">
                  <c:v>16.7</c:v>
                </c:pt>
                <c:pt idx="4">
                  <c:v>6.95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A9-4BAF-8D86-4A82738C193D}"/>
            </c:ext>
          </c:extLst>
        </c:ser>
        <c:ser>
          <c:idx val="5"/>
          <c:order val="5"/>
          <c:tx>
            <c:v>Våt 20 °C</c:v>
          </c:tx>
          <c:spPr>
            <a:ln w="12700" cap="rnd">
              <a:solidFill>
                <a:srgbClr val="5B9BD5"/>
              </a:solidFill>
              <a:prstDash val="lgDash"/>
              <a:round/>
            </a:ln>
            <a:effectLst/>
          </c:spPr>
          <c:marker>
            <c:symbol val="square"/>
            <c:size val="5"/>
            <c:spPr>
              <a:solidFill>
                <a:srgbClr val="5B9BD5"/>
              </a:solidFill>
              <a:ln w="9525">
                <a:solidFill>
                  <a:srgbClr val="5B9BD5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PETG!$A$4:$A$8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PETG!$E$4:$E$8</c:f>
              <c:numCache>
                <c:formatCode>0.00</c:formatCode>
                <c:ptCount val="5"/>
                <c:pt idx="0">
                  <c:v>16.3</c:v>
                </c:pt>
                <c:pt idx="1">
                  <c:v>16.5</c:v>
                </c:pt>
                <c:pt idx="2">
                  <c:v>13.7</c:v>
                </c:pt>
                <c:pt idx="3">
                  <c:v>16.600000000000001</c:v>
                </c:pt>
                <c:pt idx="4">
                  <c:v>6.12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A9-4BAF-8D86-4A82738C19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1402319"/>
        <c:axId val="471402799"/>
      </c:scatterChart>
      <c:valAx>
        <c:axId val="471402319"/>
        <c:scaling>
          <c:orientation val="minMax"/>
          <c:max val="1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Uke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402799"/>
        <c:crosses val="autoZero"/>
        <c:crossBetween val="midCat"/>
        <c:majorUnit val="3"/>
      </c:valAx>
      <c:valAx>
        <c:axId val="471402799"/>
        <c:scaling>
          <c:orientation val="minMax"/>
          <c:max val="4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Flytegrense (0,2%) [MPa]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4023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Tøyning mot uke (PETG 20–40–60 °C)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Tørr 60 °C</c:v>
          </c:tx>
          <c:spPr>
            <a:ln w="12700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diamond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PETG!$A$52:$A$56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PETG!$W$52:$W$56</c:f>
              <c:numCache>
                <c:formatCode>0.00</c:formatCode>
                <c:ptCount val="5"/>
                <c:pt idx="0">
                  <c:v>11.2</c:v>
                </c:pt>
                <c:pt idx="1">
                  <c:v>25.7</c:v>
                </c:pt>
                <c:pt idx="2">
                  <c:v>13</c:v>
                </c:pt>
                <c:pt idx="3">
                  <c:v>16.3</c:v>
                </c:pt>
                <c:pt idx="4">
                  <c:v>10.1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F0D-4C72-A2FA-B164C5155A17}"/>
            </c:ext>
          </c:extLst>
        </c:ser>
        <c:ser>
          <c:idx val="1"/>
          <c:order val="1"/>
          <c:tx>
            <c:v>Våt 60 °C</c:v>
          </c:tx>
          <c:spPr>
            <a:ln w="12700" cap="rnd">
              <a:solidFill>
                <a:srgbClr val="FF4040"/>
              </a:solidFill>
              <a:prstDash val="lgDash"/>
              <a:round/>
            </a:ln>
            <a:effectLst/>
          </c:spPr>
          <c:marker>
            <c:symbol val="diamond"/>
            <c:size val="5"/>
            <c:spPr>
              <a:solidFill>
                <a:srgbClr val="FF4040"/>
              </a:solidFill>
              <a:ln w="9525">
                <a:solidFill>
                  <a:srgbClr val="FF4040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PETG!$A$52:$A$56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PETG!$K$52:$K$56</c:f>
              <c:numCache>
                <c:formatCode>0.00</c:formatCode>
                <c:ptCount val="5"/>
                <c:pt idx="0">
                  <c:v>11.2</c:v>
                </c:pt>
                <c:pt idx="1">
                  <c:v>68.099999999999994</c:v>
                </c:pt>
                <c:pt idx="2">
                  <c:v>34.6</c:v>
                </c:pt>
                <c:pt idx="3">
                  <c:v>19.3</c:v>
                </c:pt>
                <c:pt idx="4">
                  <c:v>17.899999999999999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F0D-4C72-A2FA-B164C5155A17}"/>
            </c:ext>
          </c:extLst>
        </c:ser>
        <c:ser>
          <c:idx val="2"/>
          <c:order val="2"/>
          <c:tx>
            <c:v>Tørr 40 °C</c:v>
          </c:tx>
          <c:spPr>
            <a:ln w="12700" cap="rnd">
              <a:solidFill>
                <a:srgbClr val="375623"/>
              </a:solidFill>
              <a:prstDash val="solid"/>
              <a:round/>
            </a:ln>
            <a:effectLst/>
          </c:spPr>
          <c:marker>
            <c:symbol val="triangle"/>
            <c:size val="5"/>
            <c:spPr>
              <a:solidFill>
                <a:srgbClr val="375623"/>
              </a:solidFill>
              <a:ln w="9525">
                <a:solidFill>
                  <a:srgbClr val="375623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PETG!$A$28:$A$32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PETG!$W$28:$W$32</c:f>
              <c:numCache>
                <c:formatCode>0.00</c:formatCode>
                <c:ptCount val="5"/>
                <c:pt idx="0">
                  <c:v>11.2</c:v>
                </c:pt>
                <c:pt idx="1">
                  <c:v>13.3</c:v>
                </c:pt>
                <c:pt idx="2">
                  <c:v>13.1</c:v>
                </c:pt>
                <c:pt idx="3">
                  <c:v>12.3</c:v>
                </c:pt>
                <c:pt idx="4">
                  <c:v>8.2200000000000006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F0D-4C72-A2FA-B164C5155A17}"/>
            </c:ext>
          </c:extLst>
        </c:ser>
        <c:ser>
          <c:idx val="3"/>
          <c:order val="3"/>
          <c:tx>
            <c:v>Våt 40 °C</c:v>
          </c:tx>
          <c:spPr>
            <a:ln w="12700" cap="rnd">
              <a:solidFill>
                <a:srgbClr val="70AD47"/>
              </a:solidFill>
              <a:prstDash val="lgDash"/>
              <a:round/>
            </a:ln>
            <a:effectLst/>
          </c:spPr>
          <c:marker>
            <c:symbol val="triangle"/>
            <c:size val="5"/>
            <c:spPr>
              <a:solidFill>
                <a:srgbClr val="70AD47"/>
              </a:solidFill>
              <a:ln w="9525">
                <a:solidFill>
                  <a:srgbClr val="70AD47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PETG!$A$28:$A$32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PETG!$K$28:$K$32</c:f>
              <c:numCache>
                <c:formatCode>0.00</c:formatCode>
                <c:ptCount val="5"/>
                <c:pt idx="0">
                  <c:v>11.2</c:v>
                </c:pt>
                <c:pt idx="1">
                  <c:v>12.5</c:v>
                </c:pt>
                <c:pt idx="2">
                  <c:v>11.3</c:v>
                </c:pt>
                <c:pt idx="3">
                  <c:v>13.3</c:v>
                </c:pt>
                <c:pt idx="4">
                  <c:v>8.9600000000000009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F0D-4C72-A2FA-B164C5155A17}"/>
            </c:ext>
          </c:extLst>
        </c:ser>
        <c:ser>
          <c:idx val="4"/>
          <c:order val="4"/>
          <c:tx>
            <c:v>Tørr 20 °C</c:v>
          </c:tx>
          <c:spPr>
            <a:ln w="12700" cap="rnd">
              <a:solidFill>
                <a:srgbClr val="1F4E79"/>
              </a:solidFill>
              <a:prstDash val="solid"/>
              <a:round/>
            </a:ln>
            <a:effectLst/>
          </c:spPr>
          <c:marker>
            <c:symbol val="square"/>
            <c:size val="5"/>
            <c:spPr>
              <a:solidFill>
                <a:srgbClr val="1F4E79"/>
              </a:solidFill>
              <a:ln w="9525">
                <a:solidFill>
                  <a:srgbClr val="1F4E79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PETG!$A$4:$A$8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PETG!$W$4:$W$8</c:f>
              <c:numCache>
                <c:formatCode>0.00</c:formatCode>
                <c:ptCount val="5"/>
                <c:pt idx="0">
                  <c:v>11.2</c:v>
                </c:pt>
                <c:pt idx="1">
                  <c:v>13.3</c:v>
                </c:pt>
                <c:pt idx="2">
                  <c:v>11.9</c:v>
                </c:pt>
                <c:pt idx="3">
                  <c:v>12.4</c:v>
                </c:pt>
                <c:pt idx="4">
                  <c:v>8.69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F0D-4C72-A2FA-B164C5155A17}"/>
            </c:ext>
          </c:extLst>
        </c:ser>
        <c:ser>
          <c:idx val="5"/>
          <c:order val="5"/>
          <c:tx>
            <c:v>Våt 20 °C</c:v>
          </c:tx>
          <c:spPr>
            <a:ln w="12700" cap="rnd">
              <a:solidFill>
                <a:srgbClr val="5B9BD5"/>
              </a:solidFill>
              <a:prstDash val="lgDash"/>
              <a:round/>
            </a:ln>
            <a:effectLst/>
          </c:spPr>
          <c:marker>
            <c:symbol val="square"/>
            <c:size val="5"/>
            <c:spPr>
              <a:solidFill>
                <a:srgbClr val="5B9BD5"/>
              </a:solidFill>
              <a:ln w="9525">
                <a:solidFill>
                  <a:srgbClr val="5B9BD5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PETG!$A$4:$A$8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PETG!$K$4:$K$8</c:f>
              <c:numCache>
                <c:formatCode>0.00</c:formatCode>
                <c:ptCount val="5"/>
                <c:pt idx="0">
                  <c:v>11.2</c:v>
                </c:pt>
                <c:pt idx="1">
                  <c:v>16.8</c:v>
                </c:pt>
                <c:pt idx="2">
                  <c:v>43.1</c:v>
                </c:pt>
                <c:pt idx="3">
                  <c:v>12.7</c:v>
                </c:pt>
                <c:pt idx="4">
                  <c:v>21.9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F0D-4C72-A2FA-B164C5155A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2978319"/>
        <c:axId val="475195919"/>
      </c:scatterChart>
      <c:valAx>
        <c:axId val="472978319"/>
        <c:scaling>
          <c:orientation val="minMax"/>
          <c:max val="1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Uke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195919"/>
        <c:crosses val="autoZero"/>
        <c:crossBetween val="midCat"/>
        <c:majorUnit val="3"/>
      </c:valAx>
      <c:valAx>
        <c:axId val="475195919"/>
        <c:scaling>
          <c:orientation val="minMax"/>
          <c:max val="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Tøyning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9783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Elastisitetsmodul mot uke (ASA 20 °C)</a:t>
            </a:r>
          </a:p>
        </c:rich>
      </c:tx>
      <c:layout>
        <c:manualLayout>
          <c:xMode val="edge"/>
          <c:yMode val="edge"/>
          <c:x val="0.30171110455573458"/>
          <c:y val="4.05092592592592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Tørr</c:v>
          </c:tx>
          <c:spPr>
            <a:ln w="12700" cap="rnd">
              <a:solidFill>
                <a:srgbClr val="1F4E79"/>
              </a:solidFill>
              <a:prstDash val="solid"/>
              <a:round/>
            </a:ln>
            <a:effectLst/>
          </c:spPr>
          <c:marker>
            <c:symbol val="square"/>
            <c:size val="5"/>
            <c:spPr>
              <a:solidFill>
                <a:srgbClr val="1F4E79"/>
              </a:solidFill>
              <a:ln w="9525">
                <a:solidFill>
                  <a:srgbClr val="1F4E79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ASA!$P$4:$P$8</c:f>
                <c:numCache>
                  <c:formatCode>General</c:formatCode>
                  <c:ptCount val="5"/>
                  <c:pt idx="0">
                    <c:v>38.299999999999997</c:v>
                  </c:pt>
                  <c:pt idx="1">
                    <c:v>7.65</c:v>
                  </c:pt>
                  <c:pt idx="2">
                    <c:v>28</c:v>
                  </c:pt>
                  <c:pt idx="3">
                    <c:v>66.5</c:v>
                  </c:pt>
                  <c:pt idx="4">
                    <c:v>26.3</c:v>
                  </c:pt>
                </c:numCache>
              </c:numRef>
            </c:plus>
            <c:minus>
              <c:numRef>
                <c:f>ASA!$P$4:$P$8</c:f>
                <c:numCache>
                  <c:formatCode>General</c:formatCode>
                  <c:ptCount val="5"/>
                  <c:pt idx="0">
                    <c:v>38.299999999999997</c:v>
                  </c:pt>
                  <c:pt idx="1">
                    <c:v>7.65</c:v>
                  </c:pt>
                  <c:pt idx="2">
                    <c:v>28</c:v>
                  </c:pt>
                  <c:pt idx="3">
                    <c:v>66.5</c:v>
                  </c:pt>
                  <c:pt idx="4">
                    <c:v>26.3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ASA!$A$4:$A$8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ASA!$N$4:$N$8</c:f>
              <c:numCache>
                <c:formatCode>0.00</c:formatCode>
                <c:ptCount val="5"/>
                <c:pt idx="0">
                  <c:v>1030</c:v>
                </c:pt>
                <c:pt idx="1">
                  <c:v>852</c:v>
                </c:pt>
                <c:pt idx="2">
                  <c:v>935</c:v>
                </c:pt>
                <c:pt idx="3">
                  <c:v>1020</c:v>
                </c:pt>
                <c:pt idx="4">
                  <c:v>1060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2E-4866-933A-954049CA2448}"/>
            </c:ext>
          </c:extLst>
        </c:ser>
        <c:ser>
          <c:idx val="1"/>
          <c:order val="1"/>
          <c:tx>
            <c:v>Våt</c:v>
          </c:tx>
          <c:spPr>
            <a:ln w="12700" cap="rnd">
              <a:solidFill>
                <a:srgbClr val="5B9BD5"/>
              </a:solidFill>
              <a:prstDash val="lgDash"/>
              <a:round/>
            </a:ln>
            <a:effectLst/>
          </c:spPr>
          <c:marker>
            <c:symbol val="square"/>
            <c:size val="5"/>
            <c:spPr>
              <a:solidFill>
                <a:srgbClr val="5B9BD5"/>
              </a:solidFill>
              <a:ln w="9525">
                <a:solidFill>
                  <a:srgbClr val="5B9BD5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ASA!$D$4:$D$8</c:f>
                <c:numCache>
                  <c:formatCode>General</c:formatCode>
                  <c:ptCount val="5"/>
                  <c:pt idx="0">
                    <c:v>38.299999999999997</c:v>
                  </c:pt>
                  <c:pt idx="1">
                    <c:v>17.2</c:v>
                  </c:pt>
                  <c:pt idx="2">
                    <c:v>18.399999999999999</c:v>
                  </c:pt>
                  <c:pt idx="3">
                    <c:v>27.95</c:v>
                  </c:pt>
                  <c:pt idx="4">
                    <c:v>84.5</c:v>
                  </c:pt>
                </c:numCache>
              </c:numRef>
            </c:plus>
            <c:minus>
              <c:numRef>
                <c:f>ASA!$D$4:$D$8</c:f>
                <c:numCache>
                  <c:formatCode>General</c:formatCode>
                  <c:ptCount val="5"/>
                  <c:pt idx="0">
                    <c:v>38.299999999999997</c:v>
                  </c:pt>
                  <c:pt idx="1">
                    <c:v>17.2</c:v>
                  </c:pt>
                  <c:pt idx="2">
                    <c:v>18.399999999999999</c:v>
                  </c:pt>
                  <c:pt idx="3">
                    <c:v>27.95</c:v>
                  </c:pt>
                  <c:pt idx="4">
                    <c:v>84.5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ASA!$A$4:$A$8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ASA!$B$4:$B$8</c:f>
              <c:numCache>
                <c:formatCode>0.00</c:formatCode>
                <c:ptCount val="5"/>
                <c:pt idx="0">
                  <c:v>1030</c:v>
                </c:pt>
                <c:pt idx="1">
                  <c:v>846</c:v>
                </c:pt>
                <c:pt idx="2">
                  <c:v>844</c:v>
                </c:pt>
                <c:pt idx="3">
                  <c:v>931</c:v>
                </c:pt>
                <c:pt idx="4">
                  <c:v>504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E2E-4866-933A-954049CA24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0350527"/>
        <c:axId val="1870351007"/>
      </c:scatterChart>
      <c:valAx>
        <c:axId val="1870350527"/>
        <c:scaling>
          <c:orientation val="minMax"/>
          <c:max val="1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Uke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351007"/>
        <c:crosses val="autoZero"/>
        <c:crossBetween val="midCat"/>
        <c:majorUnit val="3"/>
      </c:valAx>
      <c:valAx>
        <c:axId val="1870351007"/>
        <c:scaling>
          <c:orientation val="minMax"/>
          <c:max val="16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Elastisitetsmodul [MPa]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3505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Flytespenning mot uke (ASA 20 °C)</a:t>
            </a:r>
          </a:p>
        </c:rich>
      </c:tx>
      <c:layout>
        <c:manualLayout>
          <c:xMode val="edge"/>
          <c:yMode val="edge"/>
          <c:x val="0.3852845581802275"/>
          <c:y val="3.703703703703703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Tørr</c:v>
          </c:tx>
          <c:spPr>
            <a:ln w="12700">
              <a:solidFill>
                <a:srgbClr val="1F4E79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1F4E79"/>
              </a:solidFill>
              <a:ln>
                <a:solidFill>
                  <a:srgbClr val="1F4E79"/>
                </a:solidFill>
                <a:prstDash val="solid"/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ASA!$S$4:$S$8</c:f>
                <c:numCache>
                  <c:formatCode>General</c:formatCode>
                  <c:ptCount val="5"/>
                  <c:pt idx="0">
                    <c:v>0.58499999999999996</c:v>
                  </c:pt>
                  <c:pt idx="1">
                    <c:v>0.85499999999999998</c:v>
                  </c:pt>
                  <c:pt idx="2">
                    <c:v>0.92</c:v>
                  </c:pt>
                  <c:pt idx="3">
                    <c:v>0.77</c:v>
                  </c:pt>
                  <c:pt idx="4">
                    <c:v>0.99</c:v>
                  </c:pt>
                </c:numCache>
              </c:numRef>
            </c:plus>
            <c:minus>
              <c:numRef>
                <c:f>ASA!$S$4:$S$8</c:f>
                <c:numCache>
                  <c:formatCode>General</c:formatCode>
                  <c:ptCount val="5"/>
                  <c:pt idx="0">
                    <c:v>0.58499999999999996</c:v>
                  </c:pt>
                  <c:pt idx="1">
                    <c:v>0.85499999999999998</c:v>
                  </c:pt>
                  <c:pt idx="2">
                    <c:v>0.92</c:v>
                  </c:pt>
                  <c:pt idx="3">
                    <c:v>0.77</c:v>
                  </c:pt>
                  <c:pt idx="4">
                    <c:v>0.99</c:v>
                  </c:pt>
                </c:numCache>
              </c:numRef>
            </c:minus>
          </c:errBars>
          <c:xVal>
            <c:numRef>
              <c:f>ASA!$A$4:$A$8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ASA!$Q$4:$Q$8</c:f>
              <c:numCache>
                <c:formatCode>0.00</c:formatCode>
                <c:ptCount val="5"/>
                <c:pt idx="0">
                  <c:v>13.7</c:v>
                </c:pt>
                <c:pt idx="1">
                  <c:v>15.2</c:v>
                </c:pt>
                <c:pt idx="2">
                  <c:v>14.6</c:v>
                </c:pt>
                <c:pt idx="3">
                  <c:v>11</c:v>
                </c:pt>
                <c:pt idx="4">
                  <c:v>16.2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0C-49F6-A0FA-6DA24CE33A67}"/>
            </c:ext>
          </c:extLst>
        </c:ser>
        <c:ser>
          <c:idx val="1"/>
          <c:order val="1"/>
          <c:tx>
            <c:v>Våt</c:v>
          </c:tx>
          <c:spPr>
            <a:ln w="12700">
              <a:solidFill>
                <a:srgbClr val="5B9BD5"/>
              </a:solidFill>
              <a:prstDash val="lgDash"/>
            </a:ln>
          </c:spPr>
          <c:marker>
            <c:symbol val="square"/>
            <c:size val="5"/>
            <c:spPr>
              <a:solidFill>
                <a:srgbClr val="5B9BD5"/>
              </a:solidFill>
              <a:ln>
                <a:solidFill>
                  <a:srgbClr val="5B9BD5"/>
                </a:solidFill>
                <a:prstDash val="solid"/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ASA!$G$4:$G$8</c:f>
                <c:numCache>
                  <c:formatCode>General</c:formatCode>
                  <c:ptCount val="5"/>
                  <c:pt idx="0">
                    <c:v>0.58499999999999996</c:v>
                  </c:pt>
                  <c:pt idx="1">
                    <c:v>0.78</c:v>
                  </c:pt>
                  <c:pt idx="2">
                    <c:v>1.1100000000000001</c:v>
                  </c:pt>
                  <c:pt idx="3">
                    <c:v>0.39300000000000002</c:v>
                  </c:pt>
                  <c:pt idx="4">
                    <c:v>0.42249999999999999</c:v>
                  </c:pt>
                </c:numCache>
              </c:numRef>
            </c:plus>
            <c:minus>
              <c:numRef>
                <c:f>ASA!$G$4:$G$8</c:f>
                <c:numCache>
                  <c:formatCode>General</c:formatCode>
                  <c:ptCount val="5"/>
                  <c:pt idx="0">
                    <c:v>0.58499999999999996</c:v>
                  </c:pt>
                  <c:pt idx="1">
                    <c:v>0.78</c:v>
                  </c:pt>
                  <c:pt idx="2">
                    <c:v>1.1100000000000001</c:v>
                  </c:pt>
                  <c:pt idx="3">
                    <c:v>0.39300000000000002</c:v>
                  </c:pt>
                  <c:pt idx="4">
                    <c:v>0.42249999999999999</c:v>
                  </c:pt>
                </c:numCache>
              </c:numRef>
            </c:minus>
          </c:errBars>
          <c:xVal>
            <c:numRef>
              <c:f>ASA!$A$4:$A$8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ASA!$E$4:$E$8</c:f>
              <c:numCache>
                <c:formatCode>0.00</c:formatCode>
                <c:ptCount val="5"/>
                <c:pt idx="0">
                  <c:v>13.7</c:v>
                </c:pt>
                <c:pt idx="1">
                  <c:v>15.9</c:v>
                </c:pt>
                <c:pt idx="2">
                  <c:v>13.8</c:v>
                </c:pt>
                <c:pt idx="3">
                  <c:v>14.2</c:v>
                </c:pt>
                <c:pt idx="4">
                  <c:v>6.1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50C-49F6-A0FA-6DA24CE33A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0350527"/>
        <c:axId val="1870351007"/>
      </c:scatterChart>
      <c:valAx>
        <c:axId val="1870350527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100" b="1"/>
                </a:pPr>
                <a:r>
                  <a:rPr lang="en-US"/>
                  <a:t>Uke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351007"/>
        <c:crosses val="autoZero"/>
        <c:crossBetween val="midCat"/>
        <c:majorUnit val="3"/>
      </c:valAx>
      <c:valAx>
        <c:axId val="1870351007"/>
        <c:scaling>
          <c:orientation val="minMax"/>
          <c:max val="4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100" b="1"/>
                </a:pPr>
                <a:r>
                  <a:rPr lang="en-US"/>
                  <a:t>Flytegrense (0,2%) [MPa]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350527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ln w="6350">
      <a:solidFill>
        <a:schemeClr val="tx1">
          <a:tint val="75000"/>
        </a:schemeClr>
      </a:solidFill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Strekkfasthet mot uke (ASA 20 °C)</a:t>
            </a:r>
          </a:p>
        </c:rich>
      </c:tx>
      <c:layout>
        <c:manualLayout>
          <c:xMode val="edge"/>
          <c:yMode val="edge"/>
          <c:x val="0.23478491114536609"/>
          <c:y val="3.70371866871828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Tørr</c:v>
          </c:tx>
          <c:spPr>
            <a:ln w="12700" cap="rnd">
              <a:solidFill>
                <a:srgbClr val="1F4E79"/>
              </a:solidFill>
              <a:prstDash val="solid"/>
              <a:round/>
            </a:ln>
            <a:effectLst/>
          </c:spPr>
          <c:marker>
            <c:symbol val="square"/>
            <c:size val="5"/>
            <c:spPr>
              <a:solidFill>
                <a:srgbClr val="1F4E79"/>
              </a:solidFill>
              <a:ln w="9525">
                <a:solidFill>
                  <a:srgbClr val="1F4E79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ASA!$V$4:$V$8</c:f>
                <c:numCache>
                  <c:formatCode>General</c:formatCode>
                  <c:ptCount val="5"/>
                  <c:pt idx="0">
                    <c:v>0.505</c:v>
                  </c:pt>
                  <c:pt idx="1">
                    <c:v>2.2050000000000001</c:v>
                  </c:pt>
                  <c:pt idx="2">
                    <c:v>3.0950000000000002</c:v>
                  </c:pt>
                  <c:pt idx="3">
                    <c:v>0.32100000000000001</c:v>
                  </c:pt>
                  <c:pt idx="4">
                    <c:v>2.605</c:v>
                  </c:pt>
                </c:numCache>
              </c:numRef>
            </c:plus>
            <c:minus>
              <c:numRef>
                <c:f>ASA!$V$4:$V$8</c:f>
                <c:numCache>
                  <c:formatCode>General</c:formatCode>
                  <c:ptCount val="5"/>
                  <c:pt idx="0">
                    <c:v>0.505</c:v>
                  </c:pt>
                  <c:pt idx="1">
                    <c:v>2.2050000000000001</c:v>
                  </c:pt>
                  <c:pt idx="2">
                    <c:v>3.0950000000000002</c:v>
                  </c:pt>
                  <c:pt idx="3">
                    <c:v>0.32100000000000001</c:v>
                  </c:pt>
                  <c:pt idx="4">
                    <c:v>2.605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ASA!$A$4:$A$8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ASA!$T$4:$T$8</c:f>
              <c:numCache>
                <c:formatCode>0.00</c:formatCode>
                <c:ptCount val="5"/>
                <c:pt idx="0">
                  <c:v>38.299999999999997</c:v>
                </c:pt>
                <c:pt idx="1">
                  <c:v>39.700000000000003</c:v>
                </c:pt>
                <c:pt idx="2">
                  <c:v>33.200000000000003</c:v>
                </c:pt>
                <c:pt idx="3">
                  <c:v>34.4</c:v>
                </c:pt>
                <c:pt idx="4">
                  <c:v>35.700000000000003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50-4169-BCBB-782041B816BF}"/>
            </c:ext>
          </c:extLst>
        </c:ser>
        <c:ser>
          <c:idx val="1"/>
          <c:order val="1"/>
          <c:tx>
            <c:v>Våt</c:v>
          </c:tx>
          <c:spPr>
            <a:ln w="12700" cap="rnd">
              <a:solidFill>
                <a:srgbClr val="5B9BD5"/>
              </a:solidFill>
              <a:prstDash val="lgDash"/>
              <a:round/>
            </a:ln>
            <a:effectLst/>
          </c:spPr>
          <c:marker>
            <c:symbol val="square"/>
            <c:size val="5"/>
            <c:spPr>
              <a:solidFill>
                <a:srgbClr val="5B9BD5"/>
              </a:solidFill>
              <a:ln w="9525">
                <a:solidFill>
                  <a:srgbClr val="5B9BD5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ASA!$J$4:$J$8</c:f>
                <c:numCache>
                  <c:formatCode>General</c:formatCode>
                  <c:ptCount val="5"/>
                  <c:pt idx="0">
                    <c:v>0.505</c:v>
                  </c:pt>
                  <c:pt idx="1">
                    <c:v>0.97499999999999998</c:v>
                  </c:pt>
                  <c:pt idx="2">
                    <c:v>2.5249999999999999</c:v>
                  </c:pt>
                  <c:pt idx="3">
                    <c:v>2.7149999999999999</c:v>
                  </c:pt>
                  <c:pt idx="4">
                    <c:v>2.3250000000000002</c:v>
                  </c:pt>
                </c:numCache>
              </c:numRef>
            </c:plus>
            <c:minus>
              <c:numRef>
                <c:f>ASA!$J$4:$J$8</c:f>
                <c:numCache>
                  <c:formatCode>General</c:formatCode>
                  <c:ptCount val="5"/>
                  <c:pt idx="0">
                    <c:v>0.505</c:v>
                  </c:pt>
                  <c:pt idx="1">
                    <c:v>0.97499999999999998</c:v>
                  </c:pt>
                  <c:pt idx="2">
                    <c:v>2.5249999999999999</c:v>
                  </c:pt>
                  <c:pt idx="3">
                    <c:v>2.7149999999999999</c:v>
                  </c:pt>
                  <c:pt idx="4">
                    <c:v>2.3250000000000002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ASA!$A$4:$A$8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ASA!$H$4:$H$8</c:f>
              <c:numCache>
                <c:formatCode>0.00</c:formatCode>
                <c:ptCount val="5"/>
                <c:pt idx="0">
                  <c:v>39.299999999999997</c:v>
                </c:pt>
                <c:pt idx="1">
                  <c:v>38.200000000000003</c:v>
                </c:pt>
                <c:pt idx="2">
                  <c:v>32</c:v>
                </c:pt>
                <c:pt idx="3">
                  <c:v>33.6</c:v>
                </c:pt>
                <c:pt idx="4">
                  <c:v>24.2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50-4169-BCBB-782041B816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0350527"/>
        <c:axId val="1870351007"/>
      </c:scatterChart>
      <c:valAx>
        <c:axId val="1870350527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Uke</a:t>
                </a:r>
              </a:p>
            </c:rich>
          </c:tx>
          <c:overlay val="0"/>
          <c:spPr>
            <a:noFill/>
            <a:ln w="6350"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351007"/>
        <c:crosses val="autoZero"/>
        <c:crossBetween val="midCat"/>
        <c:majorUnit val="3"/>
      </c:valAx>
      <c:valAx>
        <c:axId val="1870351007"/>
        <c:scaling>
          <c:orientation val="minMax"/>
          <c:max val="6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Strekkfasthet [MPa]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350527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Tøyning mot uke (ASA 20 °C)</a:t>
            </a:r>
          </a:p>
        </c:rich>
      </c:tx>
      <c:layout>
        <c:manualLayout>
          <c:xMode val="edge"/>
          <c:yMode val="edge"/>
          <c:x val="0.23478491114536609"/>
          <c:y val="3.70371866871828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Tørr</c:v>
          </c:tx>
          <c:spPr>
            <a:ln w="12700" cap="rnd">
              <a:solidFill>
                <a:srgbClr val="1F4E79"/>
              </a:solidFill>
              <a:prstDash val="solid"/>
              <a:round/>
            </a:ln>
            <a:effectLst/>
          </c:spPr>
          <c:marker>
            <c:symbol val="square"/>
            <c:size val="5"/>
            <c:spPr>
              <a:solidFill>
                <a:srgbClr val="1F4E79"/>
              </a:solidFill>
              <a:ln w="9525">
                <a:solidFill>
                  <a:srgbClr val="1F4E79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ASA!$Y$4:$Y$8</c:f>
                <c:numCache>
                  <c:formatCode>General</c:formatCode>
                  <c:ptCount val="5"/>
                  <c:pt idx="0">
                    <c:v>0.27650000000000002</c:v>
                  </c:pt>
                  <c:pt idx="1">
                    <c:v>0.78500000000000003</c:v>
                  </c:pt>
                  <c:pt idx="2">
                    <c:v>0.93500000000000005</c:v>
                  </c:pt>
                  <c:pt idx="3">
                    <c:v>0.28499999999999998</c:v>
                  </c:pt>
                  <c:pt idx="4">
                    <c:v>0.72499999999999998</c:v>
                  </c:pt>
                </c:numCache>
              </c:numRef>
            </c:plus>
            <c:minus>
              <c:numRef>
                <c:f>ASA!$Y$4:$Y$8</c:f>
                <c:numCache>
                  <c:formatCode>General</c:formatCode>
                  <c:ptCount val="5"/>
                  <c:pt idx="0">
                    <c:v>0.27650000000000002</c:v>
                  </c:pt>
                  <c:pt idx="1">
                    <c:v>0.78500000000000003</c:v>
                  </c:pt>
                  <c:pt idx="2">
                    <c:v>0.93500000000000005</c:v>
                  </c:pt>
                  <c:pt idx="3">
                    <c:v>0.28499999999999998</c:v>
                  </c:pt>
                  <c:pt idx="4">
                    <c:v>0.72499999999999998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ASA!$A$4:$A$8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ASA!$W$4:$W$8</c:f>
              <c:numCache>
                <c:formatCode>0.00</c:formatCode>
                <c:ptCount val="5"/>
                <c:pt idx="0">
                  <c:v>11.6</c:v>
                </c:pt>
                <c:pt idx="1">
                  <c:v>11.1</c:v>
                </c:pt>
                <c:pt idx="2">
                  <c:v>8.33</c:v>
                </c:pt>
                <c:pt idx="3">
                  <c:v>8.98</c:v>
                </c:pt>
                <c:pt idx="4">
                  <c:v>8.18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38-44C6-97F0-1007A7ACA152}"/>
            </c:ext>
          </c:extLst>
        </c:ser>
        <c:ser>
          <c:idx val="1"/>
          <c:order val="1"/>
          <c:tx>
            <c:v>Våt</c:v>
          </c:tx>
          <c:spPr>
            <a:ln w="12700" cap="rnd">
              <a:solidFill>
                <a:srgbClr val="5B9BD5"/>
              </a:solidFill>
              <a:prstDash val="lgDash"/>
              <a:round/>
            </a:ln>
            <a:effectLst/>
          </c:spPr>
          <c:marker>
            <c:symbol val="square"/>
            <c:size val="5"/>
            <c:spPr>
              <a:solidFill>
                <a:srgbClr val="5B9BD5"/>
              </a:solidFill>
              <a:ln w="19050">
                <a:solidFill>
                  <a:srgbClr val="5B9BD5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ASA!$M$4:$M$8</c:f>
                <c:numCache>
                  <c:formatCode>General</c:formatCode>
                  <c:ptCount val="5"/>
                  <c:pt idx="0">
                    <c:v>0.27650000000000002</c:v>
                  </c:pt>
                  <c:pt idx="1">
                    <c:v>0.20899999999999999</c:v>
                  </c:pt>
                  <c:pt idx="2">
                    <c:v>0.72</c:v>
                  </c:pt>
                  <c:pt idx="3">
                    <c:v>1.26</c:v>
                  </c:pt>
                  <c:pt idx="4">
                    <c:v>0.625</c:v>
                  </c:pt>
                </c:numCache>
              </c:numRef>
            </c:plus>
            <c:minus>
              <c:numRef>
                <c:f>ASA!$M$4:$M$8</c:f>
                <c:numCache>
                  <c:formatCode>General</c:formatCode>
                  <c:ptCount val="5"/>
                  <c:pt idx="0">
                    <c:v>0.27650000000000002</c:v>
                  </c:pt>
                  <c:pt idx="1">
                    <c:v>0.20899999999999999</c:v>
                  </c:pt>
                  <c:pt idx="2">
                    <c:v>0.72</c:v>
                  </c:pt>
                  <c:pt idx="3">
                    <c:v>1.26</c:v>
                  </c:pt>
                  <c:pt idx="4">
                    <c:v>0.625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ASA!$A$4:$A$8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ASA!$K$4:$K$8</c:f>
              <c:numCache>
                <c:formatCode>0.00</c:formatCode>
                <c:ptCount val="5"/>
                <c:pt idx="0">
                  <c:v>11.6</c:v>
                </c:pt>
                <c:pt idx="1">
                  <c:v>10.199999999999999</c:v>
                </c:pt>
                <c:pt idx="2">
                  <c:v>8.2100000000000009</c:v>
                </c:pt>
                <c:pt idx="3">
                  <c:v>9.08</c:v>
                </c:pt>
                <c:pt idx="4">
                  <c:v>6.49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138-44C6-97F0-1007A7ACA1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0350527"/>
        <c:axId val="1870351007"/>
      </c:scatterChart>
      <c:valAx>
        <c:axId val="1870350527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Uke</a:t>
                </a:r>
              </a:p>
            </c:rich>
          </c:tx>
          <c:overlay val="0"/>
          <c:spPr>
            <a:noFill/>
            <a:ln w="6350"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351007"/>
        <c:crosses val="autoZero"/>
        <c:crossBetween val="midCat"/>
        <c:majorUnit val="3"/>
      </c:valAx>
      <c:valAx>
        <c:axId val="1870351007"/>
        <c:scaling>
          <c:orientation val="minMax"/>
          <c:max val="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Tøyning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350527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Elastisitetsmodul mot uke (ASA 40 °C)</a:t>
            </a:r>
          </a:p>
        </c:rich>
      </c:tx>
      <c:layout>
        <c:manualLayout>
          <c:xMode val="edge"/>
          <c:yMode val="edge"/>
          <c:x val="0.30171110455573458"/>
          <c:y val="4.05092592592592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Tørr</c:v>
          </c:tx>
          <c:spPr>
            <a:ln w="12700" cap="rnd">
              <a:solidFill>
                <a:srgbClr val="375623"/>
              </a:solidFill>
              <a:prstDash val="solid"/>
              <a:round/>
            </a:ln>
            <a:effectLst/>
          </c:spPr>
          <c:marker>
            <c:symbol val="triangle"/>
            <c:size val="5"/>
            <c:spPr>
              <a:solidFill>
                <a:srgbClr val="375623"/>
              </a:solidFill>
              <a:ln w="9525">
                <a:solidFill>
                  <a:srgbClr val="375623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ASA!$P$28:$P$32</c:f>
                <c:numCache>
                  <c:formatCode>General</c:formatCode>
                  <c:ptCount val="5"/>
                  <c:pt idx="0">
                    <c:v>38.299999999999997</c:v>
                  </c:pt>
                  <c:pt idx="1">
                    <c:v>24.7</c:v>
                  </c:pt>
                  <c:pt idx="2">
                    <c:v>9.75</c:v>
                  </c:pt>
                  <c:pt idx="3">
                    <c:v>56</c:v>
                  </c:pt>
                  <c:pt idx="4">
                    <c:v>160.5</c:v>
                  </c:pt>
                </c:numCache>
              </c:numRef>
            </c:plus>
            <c:minus>
              <c:numRef>
                <c:f>ASA!$P$28:$P$32</c:f>
                <c:numCache>
                  <c:formatCode>General</c:formatCode>
                  <c:ptCount val="5"/>
                  <c:pt idx="0">
                    <c:v>38.299999999999997</c:v>
                  </c:pt>
                  <c:pt idx="1">
                    <c:v>24.7</c:v>
                  </c:pt>
                  <c:pt idx="2">
                    <c:v>9.75</c:v>
                  </c:pt>
                  <c:pt idx="3">
                    <c:v>56</c:v>
                  </c:pt>
                  <c:pt idx="4">
                    <c:v>160.5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ASA!$A$28:$A$32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ASA!$N$28:$N$32</c:f>
              <c:numCache>
                <c:formatCode>0.00</c:formatCode>
                <c:ptCount val="5"/>
                <c:pt idx="0">
                  <c:v>1030</c:v>
                </c:pt>
                <c:pt idx="1">
                  <c:v>849</c:v>
                </c:pt>
                <c:pt idx="2">
                  <c:v>895</c:v>
                </c:pt>
                <c:pt idx="3">
                  <c:v>929</c:v>
                </c:pt>
                <c:pt idx="4">
                  <c:v>760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8E-47F7-A386-D33A0DEC6E31}"/>
            </c:ext>
          </c:extLst>
        </c:ser>
        <c:ser>
          <c:idx val="1"/>
          <c:order val="1"/>
          <c:tx>
            <c:v>Våt</c:v>
          </c:tx>
          <c:spPr>
            <a:ln w="12700" cap="rnd">
              <a:solidFill>
                <a:srgbClr val="70AD47"/>
              </a:solidFill>
              <a:prstDash val="lgDash"/>
              <a:round/>
            </a:ln>
            <a:effectLst/>
          </c:spPr>
          <c:marker>
            <c:symbol val="triangle"/>
            <c:size val="5"/>
            <c:spPr>
              <a:solidFill>
                <a:srgbClr val="70AD47"/>
              </a:solidFill>
              <a:ln w="9525">
                <a:solidFill>
                  <a:srgbClr val="70AD47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ASA!$D$28:$D$32</c:f>
                <c:numCache>
                  <c:formatCode>General</c:formatCode>
                  <c:ptCount val="5"/>
                  <c:pt idx="0">
                    <c:v>38.299999999999997</c:v>
                  </c:pt>
                  <c:pt idx="1">
                    <c:v>40.65</c:v>
                  </c:pt>
                  <c:pt idx="2">
                    <c:v>16.45</c:v>
                  </c:pt>
                  <c:pt idx="3">
                    <c:v>33.35</c:v>
                  </c:pt>
                  <c:pt idx="4">
                    <c:v>98</c:v>
                  </c:pt>
                </c:numCache>
              </c:numRef>
            </c:plus>
            <c:minus>
              <c:numRef>
                <c:f>ASA!$D$28:$D$32</c:f>
                <c:numCache>
                  <c:formatCode>General</c:formatCode>
                  <c:ptCount val="5"/>
                  <c:pt idx="0">
                    <c:v>38.299999999999997</c:v>
                  </c:pt>
                  <c:pt idx="1">
                    <c:v>40.65</c:v>
                  </c:pt>
                  <c:pt idx="2">
                    <c:v>16.45</c:v>
                  </c:pt>
                  <c:pt idx="3">
                    <c:v>33.35</c:v>
                  </c:pt>
                  <c:pt idx="4">
                    <c:v>98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ASA!$A$28:$A$32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ASA!$B$28:$B$32</c:f>
              <c:numCache>
                <c:formatCode>0.00</c:formatCode>
                <c:ptCount val="5"/>
                <c:pt idx="0">
                  <c:v>1030</c:v>
                </c:pt>
                <c:pt idx="1">
                  <c:v>863</c:v>
                </c:pt>
                <c:pt idx="2">
                  <c:v>912</c:v>
                </c:pt>
                <c:pt idx="3">
                  <c:v>923</c:v>
                </c:pt>
                <c:pt idx="4">
                  <c:v>618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F8E-47F7-A386-D33A0DEC6E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0350527"/>
        <c:axId val="1870351007"/>
      </c:scatterChart>
      <c:valAx>
        <c:axId val="1870350527"/>
        <c:scaling>
          <c:orientation val="minMax"/>
          <c:max val="1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Uke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351007"/>
        <c:crosses val="autoZero"/>
        <c:crossBetween val="midCat"/>
        <c:majorUnit val="3"/>
      </c:valAx>
      <c:valAx>
        <c:axId val="1870351007"/>
        <c:scaling>
          <c:orientation val="minMax"/>
          <c:max val="16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Elastisitetsmodul [MPa]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3505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Flytespenning mot uke (ASA 40 °C)</a:t>
            </a:r>
          </a:p>
        </c:rich>
      </c:tx>
      <c:layout>
        <c:manualLayout>
          <c:xMode val="edge"/>
          <c:yMode val="edge"/>
          <c:x val="0.3852845581802275"/>
          <c:y val="3.703703703703703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Tørr</c:v>
          </c:tx>
          <c:spPr>
            <a:ln w="12700">
              <a:solidFill>
                <a:srgbClr val="375623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375623"/>
              </a:solidFill>
              <a:ln>
                <a:solidFill>
                  <a:srgbClr val="375623"/>
                </a:solidFill>
                <a:prstDash val="solid"/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ASA!$S$28:$S$32</c:f>
                <c:numCache>
                  <c:formatCode>General</c:formatCode>
                  <c:ptCount val="5"/>
                  <c:pt idx="0">
                    <c:v>0.58499999999999996</c:v>
                  </c:pt>
                  <c:pt idx="1">
                    <c:v>0.98499999999999999</c:v>
                  </c:pt>
                  <c:pt idx="2">
                    <c:v>0.22900000000000001</c:v>
                  </c:pt>
                  <c:pt idx="3">
                    <c:v>1.1200000000000001</c:v>
                  </c:pt>
                  <c:pt idx="4">
                    <c:v>2.56</c:v>
                  </c:pt>
                </c:numCache>
              </c:numRef>
            </c:plus>
            <c:minus>
              <c:numRef>
                <c:f>ASA!$S$28:$S$32</c:f>
                <c:numCache>
                  <c:formatCode>General</c:formatCode>
                  <c:ptCount val="5"/>
                  <c:pt idx="0">
                    <c:v>0.58499999999999996</c:v>
                  </c:pt>
                  <c:pt idx="1">
                    <c:v>0.98499999999999999</c:v>
                  </c:pt>
                  <c:pt idx="2">
                    <c:v>0.22900000000000001</c:v>
                  </c:pt>
                  <c:pt idx="3">
                    <c:v>1.1200000000000001</c:v>
                  </c:pt>
                  <c:pt idx="4">
                    <c:v>2.56</c:v>
                  </c:pt>
                </c:numCache>
              </c:numRef>
            </c:minus>
          </c:errBars>
          <c:xVal>
            <c:numRef>
              <c:f>ASA!$A$28:$A$32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ASA!$Q$28:$Q$32</c:f>
              <c:numCache>
                <c:formatCode>0.00</c:formatCode>
                <c:ptCount val="5"/>
                <c:pt idx="0">
                  <c:v>13.7</c:v>
                </c:pt>
                <c:pt idx="1">
                  <c:v>16.600000000000001</c:v>
                </c:pt>
                <c:pt idx="2">
                  <c:v>14</c:v>
                </c:pt>
                <c:pt idx="3">
                  <c:v>12.4</c:v>
                </c:pt>
                <c:pt idx="4">
                  <c:v>8.9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8D-4821-A8E2-17C87686E74D}"/>
            </c:ext>
          </c:extLst>
        </c:ser>
        <c:ser>
          <c:idx val="1"/>
          <c:order val="1"/>
          <c:tx>
            <c:v>Våt</c:v>
          </c:tx>
          <c:spPr>
            <a:ln w="12700">
              <a:solidFill>
                <a:srgbClr val="70AD47"/>
              </a:solidFill>
              <a:prstDash val="lgDash"/>
            </a:ln>
          </c:spPr>
          <c:marker>
            <c:symbol val="triangle"/>
            <c:size val="5"/>
            <c: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ASA!$G$28:$G$32</c:f>
                <c:numCache>
                  <c:formatCode>General</c:formatCode>
                  <c:ptCount val="5"/>
                  <c:pt idx="0">
                    <c:v>0.58499999999999996</c:v>
                  </c:pt>
                  <c:pt idx="1">
                    <c:v>1.345</c:v>
                  </c:pt>
                  <c:pt idx="2">
                    <c:v>0.92500000000000004</c:v>
                  </c:pt>
                  <c:pt idx="3">
                    <c:v>0.307</c:v>
                  </c:pt>
                  <c:pt idx="4">
                    <c:v>5.2</c:v>
                  </c:pt>
                </c:numCache>
              </c:numRef>
            </c:plus>
            <c:minus>
              <c:numRef>
                <c:f>ASA!$G$28:$G$32</c:f>
                <c:numCache>
                  <c:formatCode>General</c:formatCode>
                  <c:ptCount val="5"/>
                  <c:pt idx="0">
                    <c:v>0.58499999999999996</c:v>
                  </c:pt>
                  <c:pt idx="1">
                    <c:v>1.345</c:v>
                  </c:pt>
                  <c:pt idx="2">
                    <c:v>0.92500000000000004</c:v>
                  </c:pt>
                  <c:pt idx="3">
                    <c:v>0.307</c:v>
                  </c:pt>
                  <c:pt idx="4">
                    <c:v>5.2</c:v>
                  </c:pt>
                </c:numCache>
              </c:numRef>
            </c:minus>
          </c:errBars>
          <c:xVal>
            <c:numRef>
              <c:f>ASA!$A$28:$A$32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ASA!$E$28:$E$32</c:f>
              <c:numCache>
                <c:formatCode>0.00</c:formatCode>
                <c:ptCount val="5"/>
                <c:pt idx="0">
                  <c:v>13.7</c:v>
                </c:pt>
                <c:pt idx="1">
                  <c:v>14.4</c:v>
                </c:pt>
                <c:pt idx="2">
                  <c:v>15</c:v>
                </c:pt>
                <c:pt idx="3">
                  <c:v>14.2</c:v>
                </c:pt>
                <c:pt idx="4">
                  <c:v>19.100000000000001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B8D-4821-A8E2-17C87686E7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0350527"/>
        <c:axId val="1870351007"/>
      </c:scatterChart>
      <c:valAx>
        <c:axId val="1870350527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100" b="1"/>
                </a:pPr>
                <a:r>
                  <a:rPr lang="en-US"/>
                  <a:t>Uke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351007"/>
        <c:crosses val="autoZero"/>
        <c:crossBetween val="midCat"/>
        <c:majorUnit val="3"/>
      </c:valAx>
      <c:valAx>
        <c:axId val="1870351007"/>
        <c:scaling>
          <c:orientation val="minMax"/>
          <c:max val="4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100" b="1"/>
                </a:pPr>
                <a:r>
                  <a:rPr lang="en-US"/>
                  <a:t>Flytegrense (0,2%) [MPa]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350527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ln w="6350">
      <a:solidFill>
        <a:schemeClr val="tx1">
          <a:tint val="75000"/>
        </a:schemeClr>
      </a:solidFill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Strekkfasthet mot uke (ASA 40 °C)</a:t>
            </a:r>
          </a:p>
        </c:rich>
      </c:tx>
      <c:layout>
        <c:manualLayout>
          <c:xMode val="edge"/>
          <c:yMode val="edge"/>
          <c:x val="0.23478491114536609"/>
          <c:y val="3.70371866871828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Tørr</c:v>
          </c:tx>
          <c:spPr>
            <a:ln w="12700" cap="rnd">
              <a:solidFill>
                <a:srgbClr val="375623"/>
              </a:solidFill>
              <a:prstDash val="solid"/>
              <a:round/>
            </a:ln>
            <a:effectLst/>
          </c:spPr>
          <c:marker>
            <c:symbol val="triangle"/>
            <c:size val="5"/>
            <c:spPr>
              <a:solidFill>
                <a:srgbClr val="375623"/>
              </a:solidFill>
              <a:ln w="9525">
                <a:solidFill>
                  <a:srgbClr val="375623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ASA!$V$28:$V$32</c:f>
                <c:numCache>
                  <c:formatCode>General</c:formatCode>
                  <c:ptCount val="5"/>
                  <c:pt idx="0">
                    <c:v>0.505</c:v>
                  </c:pt>
                  <c:pt idx="1">
                    <c:v>2.5750000000000002</c:v>
                  </c:pt>
                  <c:pt idx="2">
                    <c:v>0.56499999999999995</c:v>
                  </c:pt>
                  <c:pt idx="3">
                    <c:v>2.2999999999999998</c:v>
                  </c:pt>
                  <c:pt idx="4">
                    <c:v>0.88500000000000001</c:v>
                  </c:pt>
                </c:numCache>
              </c:numRef>
            </c:plus>
            <c:minus>
              <c:numRef>
                <c:f>ASA!$V$28:$V$32</c:f>
                <c:numCache>
                  <c:formatCode>General</c:formatCode>
                  <c:ptCount val="5"/>
                  <c:pt idx="0">
                    <c:v>0.505</c:v>
                  </c:pt>
                  <c:pt idx="1">
                    <c:v>2.5750000000000002</c:v>
                  </c:pt>
                  <c:pt idx="2">
                    <c:v>0.56499999999999995</c:v>
                  </c:pt>
                  <c:pt idx="3">
                    <c:v>2.2999999999999998</c:v>
                  </c:pt>
                  <c:pt idx="4">
                    <c:v>0.88500000000000001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ASA!$A$28:$A$32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ASA!$T$28:$T$32</c:f>
              <c:numCache>
                <c:formatCode>0.00</c:formatCode>
                <c:ptCount val="5"/>
                <c:pt idx="0">
                  <c:v>38.299999999999997</c:v>
                </c:pt>
                <c:pt idx="1">
                  <c:v>36.700000000000003</c:v>
                </c:pt>
                <c:pt idx="2">
                  <c:v>37.1</c:v>
                </c:pt>
                <c:pt idx="3">
                  <c:v>32.5</c:v>
                </c:pt>
                <c:pt idx="4">
                  <c:v>31.2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C9-49C1-9296-75F7131A444E}"/>
            </c:ext>
          </c:extLst>
        </c:ser>
        <c:ser>
          <c:idx val="1"/>
          <c:order val="1"/>
          <c:tx>
            <c:v>Våt</c:v>
          </c:tx>
          <c:spPr>
            <a:ln w="12700" cap="rnd">
              <a:solidFill>
                <a:srgbClr val="70AD47"/>
              </a:solidFill>
              <a:prstDash val="lgDash"/>
              <a:round/>
            </a:ln>
            <a:effectLst/>
          </c:spPr>
          <c:marker>
            <c:symbol val="triangle"/>
            <c:size val="5"/>
            <c:spPr>
              <a:solidFill>
                <a:srgbClr val="70AD47"/>
              </a:solidFill>
              <a:ln w="9525">
                <a:solidFill>
                  <a:srgbClr val="70AD47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ASA!$J$28:$J$32</c:f>
                <c:numCache>
                  <c:formatCode>General</c:formatCode>
                  <c:ptCount val="5"/>
                  <c:pt idx="0">
                    <c:v>0.505</c:v>
                  </c:pt>
                  <c:pt idx="1">
                    <c:v>2.0499999999999998</c:v>
                  </c:pt>
                  <c:pt idx="2">
                    <c:v>2.4300000000000002</c:v>
                  </c:pt>
                  <c:pt idx="3">
                    <c:v>1.39</c:v>
                  </c:pt>
                  <c:pt idx="4">
                    <c:v>3.45</c:v>
                  </c:pt>
                </c:numCache>
              </c:numRef>
            </c:plus>
            <c:minus>
              <c:numRef>
                <c:f>ASA!$J$28:$J$32</c:f>
                <c:numCache>
                  <c:formatCode>General</c:formatCode>
                  <c:ptCount val="5"/>
                  <c:pt idx="0">
                    <c:v>0.505</c:v>
                  </c:pt>
                  <c:pt idx="1">
                    <c:v>2.0499999999999998</c:v>
                  </c:pt>
                  <c:pt idx="2">
                    <c:v>2.4300000000000002</c:v>
                  </c:pt>
                  <c:pt idx="3">
                    <c:v>1.39</c:v>
                  </c:pt>
                  <c:pt idx="4">
                    <c:v>3.45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ASA!$A$28:$A$32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ASA!$H$28:$H$32</c:f>
              <c:numCache>
                <c:formatCode>0.00</c:formatCode>
                <c:ptCount val="5"/>
                <c:pt idx="0">
                  <c:v>38.299999999999997</c:v>
                </c:pt>
                <c:pt idx="1">
                  <c:v>38.200000000000003</c:v>
                </c:pt>
                <c:pt idx="2">
                  <c:v>35.5</c:v>
                </c:pt>
                <c:pt idx="3">
                  <c:v>36.5</c:v>
                </c:pt>
                <c:pt idx="4">
                  <c:v>25.8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FC9-49C1-9296-75F7131A44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0350527"/>
        <c:axId val="1870351007"/>
      </c:scatterChart>
      <c:valAx>
        <c:axId val="1870350527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Uke</a:t>
                </a:r>
              </a:p>
            </c:rich>
          </c:tx>
          <c:overlay val="0"/>
          <c:spPr>
            <a:noFill/>
            <a:ln w="6350"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351007"/>
        <c:crosses val="autoZero"/>
        <c:crossBetween val="midCat"/>
        <c:majorUnit val="3"/>
      </c:valAx>
      <c:valAx>
        <c:axId val="1870351007"/>
        <c:scaling>
          <c:orientation val="minMax"/>
          <c:max val="6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Strekkfasthet [MPa]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350527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Elastisitetsmodul mot uke (ASA 60 °C)</a:t>
            </a:r>
          </a:p>
        </c:rich>
      </c:tx>
      <c:layout>
        <c:manualLayout>
          <c:xMode val="edge"/>
          <c:yMode val="edge"/>
          <c:x val="0.30171110455573458"/>
          <c:y val="4.05092592592592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Tørr</c:v>
          </c:tx>
          <c:spPr>
            <a:ln w="12700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diamond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ASA!$P$52:$P$56</c:f>
                <c:numCache>
                  <c:formatCode>General</c:formatCode>
                  <c:ptCount val="5"/>
                  <c:pt idx="0">
                    <c:v>38.299999999999997</c:v>
                  </c:pt>
                  <c:pt idx="1">
                    <c:v>70</c:v>
                  </c:pt>
                  <c:pt idx="2">
                    <c:v>13.9</c:v>
                  </c:pt>
                  <c:pt idx="3">
                    <c:v>11.25</c:v>
                  </c:pt>
                  <c:pt idx="4">
                    <c:v>158</c:v>
                  </c:pt>
                </c:numCache>
              </c:numRef>
            </c:plus>
            <c:minus>
              <c:numRef>
                <c:f>ASA!$P$52:$P$56</c:f>
                <c:numCache>
                  <c:formatCode>General</c:formatCode>
                  <c:ptCount val="5"/>
                  <c:pt idx="0">
                    <c:v>38.299999999999997</c:v>
                  </c:pt>
                  <c:pt idx="1">
                    <c:v>70</c:v>
                  </c:pt>
                  <c:pt idx="2">
                    <c:v>13.9</c:v>
                  </c:pt>
                  <c:pt idx="3">
                    <c:v>11.25</c:v>
                  </c:pt>
                  <c:pt idx="4">
                    <c:v>158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ASA!$A$52:$A$56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ASA!$N$52:$N$56</c:f>
              <c:numCache>
                <c:formatCode>0.00</c:formatCode>
                <c:ptCount val="5"/>
                <c:pt idx="0">
                  <c:v>1030</c:v>
                </c:pt>
                <c:pt idx="1">
                  <c:v>955</c:v>
                </c:pt>
                <c:pt idx="2">
                  <c:v>910</c:v>
                </c:pt>
                <c:pt idx="3">
                  <c:v>885</c:v>
                </c:pt>
                <c:pt idx="4">
                  <c:v>766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73-4468-B5AF-5B7CF72E41AE}"/>
            </c:ext>
          </c:extLst>
        </c:ser>
        <c:ser>
          <c:idx val="1"/>
          <c:order val="1"/>
          <c:tx>
            <c:v>Våt</c:v>
          </c:tx>
          <c:spPr>
            <a:ln w="12700" cap="rnd">
              <a:solidFill>
                <a:srgbClr val="FF4040"/>
              </a:solidFill>
              <a:prstDash val="lgDash"/>
              <a:round/>
            </a:ln>
            <a:effectLst/>
          </c:spPr>
          <c:marker>
            <c:symbol val="diamond"/>
            <c:size val="5"/>
            <c:spPr>
              <a:solidFill>
                <a:srgbClr val="FF4040"/>
              </a:solidFill>
              <a:ln w="9525">
                <a:solidFill>
                  <a:srgbClr val="FF4040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ASA!$D$52:$D$56</c:f>
                <c:numCache>
                  <c:formatCode>General</c:formatCode>
                  <c:ptCount val="5"/>
                  <c:pt idx="0">
                    <c:v>38.299999999999997</c:v>
                  </c:pt>
                  <c:pt idx="1">
                    <c:v>12.3</c:v>
                  </c:pt>
                  <c:pt idx="2">
                    <c:v>10.5</c:v>
                  </c:pt>
                  <c:pt idx="3">
                    <c:v>24.65</c:v>
                  </c:pt>
                  <c:pt idx="4">
                    <c:v>17.25</c:v>
                  </c:pt>
                </c:numCache>
              </c:numRef>
            </c:plus>
            <c:minus>
              <c:numRef>
                <c:f>ASA!$D$52:$D$56</c:f>
                <c:numCache>
                  <c:formatCode>General</c:formatCode>
                  <c:ptCount val="5"/>
                  <c:pt idx="0">
                    <c:v>38.299999999999997</c:v>
                  </c:pt>
                  <c:pt idx="1">
                    <c:v>12.3</c:v>
                  </c:pt>
                  <c:pt idx="2">
                    <c:v>10.5</c:v>
                  </c:pt>
                  <c:pt idx="3">
                    <c:v>24.65</c:v>
                  </c:pt>
                  <c:pt idx="4">
                    <c:v>17.25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ASA!$A$52:$A$56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ASA!$B$52:$B$56</c:f>
              <c:numCache>
                <c:formatCode>0.00</c:formatCode>
                <c:ptCount val="5"/>
                <c:pt idx="0">
                  <c:v>1030</c:v>
                </c:pt>
                <c:pt idx="1">
                  <c:v>882</c:v>
                </c:pt>
                <c:pt idx="2">
                  <c:v>902</c:v>
                </c:pt>
                <c:pt idx="3">
                  <c:v>959</c:v>
                </c:pt>
                <c:pt idx="4">
                  <c:v>979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773-4468-B5AF-5B7CF72E41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0350527"/>
        <c:axId val="1870351007"/>
      </c:scatterChart>
      <c:valAx>
        <c:axId val="1870350527"/>
        <c:scaling>
          <c:orientation val="minMax"/>
          <c:max val="1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Uke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351007"/>
        <c:crosses val="autoZero"/>
        <c:crossBetween val="midCat"/>
        <c:majorUnit val="3"/>
      </c:valAx>
      <c:valAx>
        <c:axId val="1870351007"/>
        <c:scaling>
          <c:orientation val="minMax"/>
          <c:max val="16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Elastisitetsmodul [MPa]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3505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Flytespenning mot uke (ASA 60 °C)</a:t>
            </a:r>
          </a:p>
        </c:rich>
      </c:tx>
      <c:layout>
        <c:manualLayout>
          <c:xMode val="edge"/>
          <c:yMode val="edge"/>
          <c:x val="0.3852845581802275"/>
          <c:y val="3.703703703703703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Tørr</c:v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C00000"/>
              </a:solidFill>
              <a:ln>
                <a:solidFill>
                  <a:srgbClr val="C00000"/>
                </a:solidFill>
                <a:prstDash val="solid"/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ASA!$S$52:$S$56</c:f>
                <c:numCache>
                  <c:formatCode>General</c:formatCode>
                  <c:ptCount val="5"/>
                  <c:pt idx="0">
                    <c:v>0.58499999999999996</c:v>
                  </c:pt>
                  <c:pt idx="1">
                    <c:v>1.61</c:v>
                  </c:pt>
                  <c:pt idx="2">
                    <c:v>0.88500000000000001</c:v>
                  </c:pt>
                  <c:pt idx="3">
                    <c:v>0.60499999999999998</c:v>
                  </c:pt>
                  <c:pt idx="4">
                    <c:v>0.98499999999999999</c:v>
                  </c:pt>
                </c:numCache>
              </c:numRef>
            </c:plus>
            <c:minus>
              <c:numRef>
                <c:f>ASA!$S$52:$S$56</c:f>
                <c:numCache>
                  <c:formatCode>General</c:formatCode>
                  <c:ptCount val="5"/>
                  <c:pt idx="0">
                    <c:v>0.58499999999999996</c:v>
                  </c:pt>
                  <c:pt idx="1">
                    <c:v>1.61</c:v>
                  </c:pt>
                  <c:pt idx="2">
                    <c:v>0.88500000000000001</c:v>
                  </c:pt>
                  <c:pt idx="3">
                    <c:v>0.60499999999999998</c:v>
                  </c:pt>
                  <c:pt idx="4">
                    <c:v>0.98499999999999999</c:v>
                  </c:pt>
                </c:numCache>
              </c:numRef>
            </c:minus>
          </c:errBars>
          <c:xVal>
            <c:numRef>
              <c:f>ASA!$A$52:$A$56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ASA!$Q$52:$Q$56</c:f>
              <c:numCache>
                <c:formatCode>0.00</c:formatCode>
                <c:ptCount val="5"/>
                <c:pt idx="0">
                  <c:v>13.7</c:v>
                </c:pt>
                <c:pt idx="1">
                  <c:v>15.1</c:v>
                </c:pt>
                <c:pt idx="2">
                  <c:v>14.8</c:v>
                </c:pt>
                <c:pt idx="3">
                  <c:v>13.5</c:v>
                </c:pt>
                <c:pt idx="4">
                  <c:v>10.6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F7-4C55-A2E2-AF9D2CD6AFE4}"/>
            </c:ext>
          </c:extLst>
        </c:ser>
        <c:ser>
          <c:idx val="1"/>
          <c:order val="1"/>
          <c:tx>
            <c:v>Våt</c:v>
          </c:tx>
          <c:spPr>
            <a:ln w="12700">
              <a:solidFill>
                <a:srgbClr val="FF4040"/>
              </a:solidFill>
              <a:prstDash val="lgDash"/>
            </a:ln>
          </c:spPr>
          <c:marker>
            <c:symbol val="diamond"/>
            <c:size val="5"/>
            <c:spPr>
              <a:solidFill>
                <a:srgbClr val="FF4040"/>
              </a:solidFill>
              <a:ln>
                <a:solidFill>
                  <a:srgbClr val="FF4040"/>
                </a:solidFill>
                <a:prstDash val="solid"/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ASA!$G$52:$G$56</c:f>
                <c:numCache>
                  <c:formatCode>General</c:formatCode>
                  <c:ptCount val="5"/>
                  <c:pt idx="0">
                    <c:v>0.58499999999999996</c:v>
                  </c:pt>
                  <c:pt idx="1">
                    <c:v>1.875</c:v>
                  </c:pt>
                  <c:pt idx="2">
                    <c:v>0.93</c:v>
                  </c:pt>
                  <c:pt idx="3">
                    <c:v>0.4415</c:v>
                  </c:pt>
                  <c:pt idx="4">
                    <c:v>0.73499999999999999</c:v>
                  </c:pt>
                </c:numCache>
              </c:numRef>
            </c:plus>
            <c:minus>
              <c:numRef>
                <c:f>ASA!$G$52:$G$56</c:f>
                <c:numCache>
                  <c:formatCode>General</c:formatCode>
                  <c:ptCount val="5"/>
                  <c:pt idx="0">
                    <c:v>0.58499999999999996</c:v>
                  </c:pt>
                  <c:pt idx="1">
                    <c:v>1.875</c:v>
                  </c:pt>
                  <c:pt idx="2">
                    <c:v>0.93</c:v>
                  </c:pt>
                  <c:pt idx="3">
                    <c:v>0.4415</c:v>
                  </c:pt>
                  <c:pt idx="4">
                    <c:v>0.73499999999999999</c:v>
                  </c:pt>
                </c:numCache>
              </c:numRef>
            </c:minus>
          </c:errBars>
          <c:xVal>
            <c:numRef>
              <c:f>ASA!$A$52:$A$56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ASA!$E$52:$E$56</c:f>
              <c:numCache>
                <c:formatCode>0.00</c:formatCode>
                <c:ptCount val="5"/>
                <c:pt idx="0">
                  <c:v>13.7</c:v>
                </c:pt>
                <c:pt idx="1">
                  <c:v>17.399999999999999</c:v>
                </c:pt>
                <c:pt idx="2">
                  <c:v>16.600000000000001</c:v>
                </c:pt>
                <c:pt idx="3">
                  <c:v>14.3</c:v>
                </c:pt>
                <c:pt idx="4">
                  <c:v>13.1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9F7-4C55-A2E2-AF9D2CD6AF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0350527"/>
        <c:axId val="1870351007"/>
      </c:scatterChart>
      <c:valAx>
        <c:axId val="1870350527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100" b="1"/>
                </a:pPr>
                <a:r>
                  <a:rPr lang="en-US"/>
                  <a:t>Uke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351007"/>
        <c:crosses val="autoZero"/>
        <c:crossBetween val="midCat"/>
        <c:majorUnit val="3"/>
      </c:valAx>
      <c:valAx>
        <c:axId val="1870351007"/>
        <c:scaling>
          <c:orientation val="minMax"/>
          <c:max val="4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100" b="1"/>
                </a:pPr>
                <a:r>
                  <a:rPr lang="en-US"/>
                  <a:t>Flytegrense (0,2%) [MPa]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350527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ln w="6350">
      <a:solidFill>
        <a:schemeClr val="tx1">
          <a:tint val="75000"/>
        </a:schemeClr>
      </a:solidFill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Strekkfasthet mot uke (ASA 60 °C)</a:t>
            </a:r>
          </a:p>
        </c:rich>
      </c:tx>
      <c:layout>
        <c:manualLayout>
          <c:xMode val="edge"/>
          <c:yMode val="edge"/>
          <c:x val="0.23478491114536609"/>
          <c:y val="3.70371866871828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Tørr</c:v>
          </c:tx>
          <c:spPr>
            <a:ln w="12700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diamond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ASA!$V$52:$V$56</c:f>
                <c:numCache>
                  <c:formatCode>General</c:formatCode>
                  <c:ptCount val="5"/>
                  <c:pt idx="0">
                    <c:v>0.505</c:v>
                  </c:pt>
                  <c:pt idx="1">
                    <c:v>0.86499999999999999</c:v>
                  </c:pt>
                  <c:pt idx="2">
                    <c:v>2.14</c:v>
                  </c:pt>
                  <c:pt idx="3">
                    <c:v>1.905</c:v>
                  </c:pt>
                  <c:pt idx="4">
                    <c:v>0.88500000000000001</c:v>
                  </c:pt>
                </c:numCache>
              </c:numRef>
            </c:plus>
            <c:minus>
              <c:numRef>
                <c:f>ASA!$V$52:$V$56</c:f>
                <c:numCache>
                  <c:formatCode>General</c:formatCode>
                  <c:ptCount val="5"/>
                  <c:pt idx="0">
                    <c:v>0.505</c:v>
                  </c:pt>
                  <c:pt idx="1">
                    <c:v>0.86499999999999999</c:v>
                  </c:pt>
                  <c:pt idx="2">
                    <c:v>2.14</c:v>
                  </c:pt>
                  <c:pt idx="3">
                    <c:v>1.905</c:v>
                  </c:pt>
                  <c:pt idx="4">
                    <c:v>0.88500000000000001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ASA!$A$52:$A$56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ASA!$T$52:$T$56</c:f>
              <c:numCache>
                <c:formatCode>0.00</c:formatCode>
                <c:ptCount val="5"/>
                <c:pt idx="0">
                  <c:v>38.299999999999997</c:v>
                </c:pt>
                <c:pt idx="1">
                  <c:v>41.1</c:v>
                </c:pt>
                <c:pt idx="2">
                  <c:v>35.799999999999997</c:v>
                </c:pt>
                <c:pt idx="3">
                  <c:v>35.1</c:v>
                </c:pt>
                <c:pt idx="4">
                  <c:v>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13-4BD5-AB08-ADC0FF0B9FA1}"/>
            </c:ext>
          </c:extLst>
        </c:ser>
        <c:ser>
          <c:idx val="1"/>
          <c:order val="1"/>
          <c:tx>
            <c:v>Våt</c:v>
          </c:tx>
          <c:spPr>
            <a:ln w="12700" cap="rnd">
              <a:solidFill>
                <a:srgbClr val="FF4040"/>
              </a:solidFill>
              <a:prstDash val="lgDash"/>
              <a:round/>
            </a:ln>
            <a:effectLst/>
          </c:spPr>
          <c:marker>
            <c:symbol val="diamond"/>
            <c:size val="5"/>
            <c:spPr>
              <a:solidFill>
                <a:srgbClr val="FF4040"/>
              </a:solidFill>
              <a:ln w="9525">
                <a:solidFill>
                  <a:srgbClr val="FF4040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ASA!$J$52:$J$56</c:f>
                <c:numCache>
                  <c:formatCode>General</c:formatCode>
                  <c:ptCount val="5"/>
                  <c:pt idx="0">
                    <c:v>0.505</c:v>
                  </c:pt>
                  <c:pt idx="1">
                    <c:v>3.33</c:v>
                  </c:pt>
                  <c:pt idx="2">
                    <c:v>2.6850000000000001</c:v>
                  </c:pt>
                  <c:pt idx="3">
                    <c:v>0.48849999999999999</c:v>
                  </c:pt>
                  <c:pt idx="4">
                    <c:v>1.095</c:v>
                  </c:pt>
                </c:numCache>
              </c:numRef>
            </c:plus>
            <c:minus>
              <c:numRef>
                <c:f>ASA!$J$52:$J$56</c:f>
                <c:numCache>
                  <c:formatCode>General</c:formatCode>
                  <c:ptCount val="5"/>
                  <c:pt idx="0">
                    <c:v>0.505</c:v>
                  </c:pt>
                  <c:pt idx="1">
                    <c:v>3.33</c:v>
                  </c:pt>
                  <c:pt idx="2">
                    <c:v>2.6850000000000001</c:v>
                  </c:pt>
                  <c:pt idx="3">
                    <c:v>0.48849999999999999</c:v>
                  </c:pt>
                  <c:pt idx="4">
                    <c:v>1.095</c:v>
                  </c:pt>
                </c:numCache>
              </c:numRef>
            </c:minus>
            <c:spPr>
              <a:noFill/>
              <a:ln w="635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ASA!$A$52:$A$56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ASA!$H$52:$H$56</c:f>
              <c:numCache>
                <c:formatCode>0.00</c:formatCode>
                <c:ptCount val="5"/>
                <c:pt idx="0">
                  <c:v>38.299999999999997</c:v>
                </c:pt>
                <c:pt idx="1">
                  <c:v>39</c:v>
                </c:pt>
                <c:pt idx="2">
                  <c:v>37.700000000000003</c:v>
                </c:pt>
                <c:pt idx="3">
                  <c:v>39.200000000000003</c:v>
                </c:pt>
                <c:pt idx="4">
                  <c:v>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D13-4BD5-AB08-ADC0FF0B9F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0350527"/>
        <c:axId val="1870351007"/>
      </c:scatterChart>
      <c:valAx>
        <c:axId val="1870350527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Uke</a:t>
                </a:r>
              </a:p>
            </c:rich>
          </c:tx>
          <c:overlay val="0"/>
          <c:spPr>
            <a:noFill/>
            <a:ln w="6350"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351007"/>
        <c:crosses val="autoZero"/>
        <c:crossBetween val="midCat"/>
        <c:majorUnit val="3"/>
      </c:valAx>
      <c:valAx>
        <c:axId val="1870351007"/>
        <c:scaling>
          <c:orientation val="minMax"/>
          <c:max val="6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Strekkfasthet [MPa]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350527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Strekkfasthet mot uke (ASA 20–40–60 °C)</a:t>
            </a:r>
          </a:p>
        </c:rich>
      </c:tx>
      <c:layout>
        <c:manualLayout>
          <c:xMode val="edge"/>
          <c:yMode val="edge"/>
          <c:x val="0.23478491114536609"/>
          <c:y val="3.70371866871828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Tørr 60 °C</c:v>
          </c:tx>
          <c:spPr>
            <a:ln w="12700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diamond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ASA!$A$52:$A$56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ASA!$T$52:$T$56</c:f>
              <c:numCache>
                <c:formatCode>0.00</c:formatCode>
                <c:ptCount val="5"/>
                <c:pt idx="0">
                  <c:v>38.299999999999997</c:v>
                </c:pt>
                <c:pt idx="1">
                  <c:v>41.1</c:v>
                </c:pt>
                <c:pt idx="2">
                  <c:v>35.799999999999997</c:v>
                </c:pt>
                <c:pt idx="3">
                  <c:v>35.1</c:v>
                </c:pt>
                <c:pt idx="4">
                  <c:v>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45-45A9-984F-DF5B8DD71163}"/>
            </c:ext>
          </c:extLst>
        </c:ser>
        <c:ser>
          <c:idx val="1"/>
          <c:order val="1"/>
          <c:tx>
            <c:v>Våt 60 °C</c:v>
          </c:tx>
          <c:spPr>
            <a:ln w="12700" cap="rnd">
              <a:solidFill>
                <a:srgbClr val="FF4040"/>
              </a:solidFill>
              <a:prstDash val="lgDash"/>
              <a:round/>
            </a:ln>
            <a:effectLst/>
          </c:spPr>
          <c:marker>
            <c:symbol val="diamond"/>
            <c:size val="5"/>
            <c:spPr>
              <a:solidFill>
                <a:srgbClr val="FF4040"/>
              </a:solidFill>
              <a:ln w="9525">
                <a:solidFill>
                  <a:srgbClr val="FF4040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ASA!$A$52:$A$56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ASA!$H$52:$H$56</c:f>
              <c:numCache>
                <c:formatCode>0.00</c:formatCode>
                <c:ptCount val="5"/>
                <c:pt idx="0">
                  <c:v>38.299999999999997</c:v>
                </c:pt>
                <c:pt idx="1">
                  <c:v>39</c:v>
                </c:pt>
                <c:pt idx="2">
                  <c:v>37.700000000000003</c:v>
                </c:pt>
                <c:pt idx="3">
                  <c:v>39.200000000000003</c:v>
                </c:pt>
                <c:pt idx="4">
                  <c:v>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345-45A9-984F-DF5B8DD71163}"/>
            </c:ext>
          </c:extLst>
        </c:ser>
        <c:ser>
          <c:idx val="2"/>
          <c:order val="2"/>
          <c:tx>
            <c:v>Tørr 40 °C</c:v>
          </c:tx>
          <c:spPr>
            <a:ln w="12700" cap="rnd">
              <a:solidFill>
                <a:srgbClr val="375623"/>
              </a:solidFill>
              <a:prstDash val="solid"/>
              <a:round/>
            </a:ln>
            <a:effectLst/>
          </c:spPr>
          <c:marker>
            <c:symbol val="triangle"/>
            <c:size val="5"/>
            <c:spPr>
              <a:solidFill>
                <a:srgbClr val="375623"/>
              </a:solidFill>
              <a:ln w="9525">
                <a:solidFill>
                  <a:srgbClr val="375623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ASA!$A$28:$A$32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ASA!$T$28:$T$32</c:f>
              <c:numCache>
                <c:formatCode>0.00</c:formatCode>
                <c:ptCount val="5"/>
                <c:pt idx="0">
                  <c:v>38.299999999999997</c:v>
                </c:pt>
                <c:pt idx="1">
                  <c:v>36.700000000000003</c:v>
                </c:pt>
                <c:pt idx="2">
                  <c:v>37.1</c:v>
                </c:pt>
                <c:pt idx="3">
                  <c:v>32.5</c:v>
                </c:pt>
                <c:pt idx="4">
                  <c:v>31.2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345-45A9-984F-DF5B8DD71163}"/>
            </c:ext>
          </c:extLst>
        </c:ser>
        <c:ser>
          <c:idx val="3"/>
          <c:order val="3"/>
          <c:tx>
            <c:v>Våt 40 °C</c:v>
          </c:tx>
          <c:spPr>
            <a:ln w="12700" cap="rnd">
              <a:solidFill>
                <a:srgbClr val="70AD47"/>
              </a:solidFill>
              <a:prstDash val="lgDash"/>
              <a:round/>
            </a:ln>
            <a:effectLst/>
          </c:spPr>
          <c:marker>
            <c:symbol val="triangle"/>
            <c:size val="5"/>
            <c:spPr>
              <a:solidFill>
                <a:srgbClr val="70AD47"/>
              </a:solidFill>
              <a:ln w="9525">
                <a:solidFill>
                  <a:srgbClr val="70AD47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ASA!$A$28:$A$32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ASA!$H$28:$H$32</c:f>
              <c:numCache>
                <c:formatCode>0.00</c:formatCode>
                <c:ptCount val="5"/>
                <c:pt idx="0">
                  <c:v>38.299999999999997</c:v>
                </c:pt>
                <c:pt idx="1">
                  <c:v>38.200000000000003</c:v>
                </c:pt>
                <c:pt idx="2">
                  <c:v>35.5</c:v>
                </c:pt>
                <c:pt idx="3">
                  <c:v>36.5</c:v>
                </c:pt>
                <c:pt idx="4">
                  <c:v>25.8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345-45A9-984F-DF5B8DD71163}"/>
            </c:ext>
          </c:extLst>
        </c:ser>
        <c:ser>
          <c:idx val="4"/>
          <c:order val="4"/>
          <c:tx>
            <c:v>Tørr 20 °C</c:v>
          </c:tx>
          <c:spPr>
            <a:ln w="12700" cap="rnd">
              <a:solidFill>
                <a:srgbClr val="1F4E79"/>
              </a:solidFill>
              <a:prstDash val="solid"/>
              <a:round/>
            </a:ln>
            <a:effectLst/>
          </c:spPr>
          <c:marker>
            <c:symbol val="square"/>
            <c:size val="5"/>
            <c:spPr>
              <a:solidFill>
                <a:srgbClr val="1F4E79"/>
              </a:solidFill>
              <a:ln w="9525">
                <a:solidFill>
                  <a:srgbClr val="1F4E79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ASA!$A$4:$A$8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ASA!$T$4:$T$8</c:f>
              <c:numCache>
                <c:formatCode>0.00</c:formatCode>
                <c:ptCount val="5"/>
                <c:pt idx="0">
                  <c:v>38.299999999999997</c:v>
                </c:pt>
                <c:pt idx="1">
                  <c:v>39.700000000000003</c:v>
                </c:pt>
                <c:pt idx="2">
                  <c:v>33.200000000000003</c:v>
                </c:pt>
                <c:pt idx="3">
                  <c:v>34.4</c:v>
                </c:pt>
                <c:pt idx="4">
                  <c:v>35.700000000000003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345-45A9-984F-DF5B8DD71163}"/>
            </c:ext>
          </c:extLst>
        </c:ser>
        <c:ser>
          <c:idx val="5"/>
          <c:order val="5"/>
          <c:tx>
            <c:v>Våt 20 °C</c:v>
          </c:tx>
          <c:spPr>
            <a:ln w="12700" cap="rnd">
              <a:solidFill>
                <a:srgbClr val="5B9BD5"/>
              </a:solidFill>
              <a:prstDash val="lgDash"/>
              <a:round/>
            </a:ln>
            <a:effectLst/>
          </c:spPr>
          <c:marker>
            <c:symbol val="square"/>
            <c:size val="5"/>
            <c:spPr>
              <a:solidFill>
                <a:srgbClr val="5B9BD5"/>
              </a:solidFill>
              <a:ln w="9525">
                <a:solidFill>
                  <a:srgbClr val="5B9BD5"/>
                </a:solidFill>
                <a:prstDash val="solid"/>
              </a:ln>
              <a:effectLst/>
            </c:spPr>
          </c:marker>
          <c:dPt>
            <c:idx val="1"/>
            <c:marker>
              <c:symbol val="square"/>
              <c:size val="5"/>
              <c:spPr>
                <a:solidFill>
                  <a:srgbClr val="5B9BD5"/>
                </a:solidFill>
                <a:ln w="9525">
                  <a:solidFill>
                    <a:srgbClr val="5B9BD5"/>
                  </a:solidFill>
                  <a:prstDash val="solid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A345-45A9-984F-DF5B8DD71163}"/>
              </c:ext>
            </c:extLst>
          </c:dPt>
          <c:dPt>
            <c:idx val="2"/>
            <c:marker>
              <c:symbol val="square"/>
              <c:size val="5"/>
              <c:spPr>
                <a:solidFill>
                  <a:srgbClr val="5B9BD5"/>
                </a:solidFill>
                <a:ln w="9525">
                  <a:solidFill>
                    <a:srgbClr val="5B9BD5"/>
                  </a:solidFill>
                  <a:prstDash val="solid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A345-45A9-984F-DF5B8DD71163}"/>
              </c:ext>
            </c:extLst>
          </c:dPt>
          <c:errBars>
            <c:errDir val="y"/>
            <c:errBarType val="both"/>
            <c:errValType val="cust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ASA!$A$4:$A$8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ASA!$H$4:$H$8</c:f>
              <c:numCache>
                <c:formatCode>0.00</c:formatCode>
                <c:ptCount val="5"/>
                <c:pt idx="0">
                  <c:v>39.299999999999997</c:v>
                </c:pt>
                <c:pt idx="1">
                  <c:v>38.200000000000003</c:v>
                </c:pt>
                <c:pt idx="2">
                  <c:v>32</c:v>
                </c:pt>
                <c:pt idx="3">
                  <c:v>33.6</c:v>
                </c:pt>
                <c:pt idx="4">
                  <c:v>24.2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345-45A9-984F-DF5B8DD711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0350527"/>
        <c:axId val="1870351007"/>
      </c:scatterChart>
      <c:valAx>
        <c:axId val="1870350527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Uke</a:t>
                </a:r>
              </a:p>
            </c:rich>
          </c:tx>
          <c:overlay val="0"/>
          <c:spPr>
            <a:noFill/>
            <a:ln w="6350"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351007"/>
        <c:crosses val="autoZero"/>
        <c:crossBetween val="midCat"/>
        <c:majorUnit val="3"/>
      </c:valAx>
      <c:valAx>
        <c:axId val="1870351007"/>
        <c:scaling>
          <c:orientation val="minMax"/>
          <c:max val="6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Strekkfasthet [MPa]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350527"/>
        <c:crosses val="autoZero"/>
        <c:crossBetween val="midCat"/>
        <c:majorUnit val="10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Tøyning mot uke (ASA 40 °C)</a:t>
            </a:r>
          </a:p>
        </c:rich>
      </c:tx>
      <c:layout>
        <c:manualLayout>
          <c:xMode val="edge"/>
          <c:yMode val="edge"/>
          <c:x val="0.23478491114536609"/>
          <c:y val="3.70371866871828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Tørr</c:v>
          </c:tx>
          <c:spPr>
            <a:ln w="12700" cap="rnd">
              <a:solidFill>
                <a:srgbClr val="375623"/>
              </a:solidFill>
              <a:prstDash val="solid"/>
              <a:round/>
            </a:ln>
            <a:effectLst/>
          </c:spPr>
          <c:marker>
            <c:symbol val="triangle"/>
            <c:size val="5"/>
            <c:spPr>
              <a:solidFill>
                <a:srgbClr val="375623"/>
              </a:solidFill>
              <a:ln w="9525">
                <a:solidFill>
                  <a:srgbClr val="375623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ASA!$Y$28:$Y$32</c:f>
                <c:numCache>
                  <c:formatCode>General</c:formatCode>
                  <c:ptCount val="5"/>
                  <c:pt idx="0">
                    <c:v>0.27650000000000002</c:v>
                  </c:pt>
                  <c:pt idx="1">
                    <c:v>0.76</c:v>
                  </c:pt>
                  <c:pt idx="2">
                    <c:v>0.55000000000000004</c:v>
                  </c:pt>
                  <c:pt idx="3">
                    <c:v>0.97</c:v>
                  </c:pt>
                  <c:pt idx="4">
                    <c:v>0.7</c:v>
                  </c:pt>
                </c:numCache>
              </c:numRef>
            </c:plus>
            <c:minus>
              <c:numRef>
                <c:f>ASA!$Y$28:$Y$32</c:f>
                <c:numCache>
                  <c:formatCode>General</c:formatCode>
                  <c:ptCount val="5"/>
                  <c:pt idx="0">
                    <c:v>0.27650000000000002</c:v>
                  </c:pt>
                  <c:pt idx="1">
                    <c:v>0.76</c:v>
                  </c:pt>
                  <c:pt idx="2">
                    <c:v>0.55000000000000004</c:v>
                  </c:pt>
                  <c:pt idx="3">
                    <c:v>0.97</c:v>
                  </c:pt>
                  <c:pt idx="4">
                    <c:v>0.7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ASA!$A$28:$A$32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ASA!$W$28:$W$32</c:f>
              <c:numCache>
                <c:formatCode>0.00</c:formatCode>
                <c:ptCount val="5"/>
                <c:pt idx="0">
                  <c:v>11.6</c:v>
                </c:pt>
                <c:pt idx="1">
                  <c:v>9.61</c:v>
                </c:pt>
                <c:pt idx="2">
                  <c:v>10.1</c:v>
                </c:pt>
                <c:pt idx="3">
                  <c:v>8.7100000000000009</c:v>
                </c:pt>
                <c:pt idx="4">
                  <c:v>8.76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03-4961-A3ED-83776624069A}"/>
            </c:ext>
          </c:extLst>
        </c:ser>
        <c:ser>
          <c:idx val="1"/>
          <c:order val="1"/>
          <c:tx>
            <c:v>Våt</c:v>
          </c:tx>
          <c:spPr>
            <a:ln w="12700" cap="rnd">
              <a:solidFill>
                <a:srgbClr val="70AD47"/>
              </a:solidFill>
              <a:prstDash val="lgDash"/>
              <a:round/>
            </a:ln>
            <a:effectLst/>
          </c:spPr>
          <c:marker>
            <c:symbol val="triangle"/>
            <c:size val="5"/>
            <c:spPr>
              <a:solidFill>
                <a:srgbClr val="70AD47"/>
              </a:solidFill>
              <a:ln w="19050">
                <a:solidFill>
                  <a:srgbClr val="70AD47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ASA!$M$28:$M$32</c:f>
                <c:numCache>
                  <c:formatCode>General</c:formatCode>
                  <c:ptCount val="5"/>
                  <c:pt idx="0">
                    <c:v>0.27650000000000002</c:v>
                  </c:pt>
                  <c:pt idx="1">
                    <c:v>0.63500000000000001</c:v>
                  </c:pt>
                  <c:pt idx="2">
                    <c:v>0.78</c:v>
                  </c:pt>
                  <c:pt idx="3">
                    <c:v>0.76500000000000001</c:v>
                  </c:pt>
                  <c:pt idx="4">
                    <c:v>0.68500000000000005</c:v>
                  </c:pt>
                </c:numCache>
              </c:numRef>
            </c:plus>
            <c:minus>
              <c:numRef>
                <c:f>ASA!$M$28:$M$32</c:f>
                <c:numCache>
                  <c:formatCode>General</c:formatCode>
                  <c:ptCount val="5"/>
                  <c:pt idx="0">
                    <c:v>0.27650000000000002</c:v>
                  </c:pt>
                  <c:pt idx="1">
                    <c:v>0.63500000000000001</c:v>
                  </c:pt>
                  <c:pt idx="2">
                    <c:v>0.78</c:v>
                  </c:pt>
                  <c:pt idx="3">
                    <c:v>0.76500000000000001</c:v>
                  </c:pt>
                  <c:pt idx="4">
                    <c:v>0.68500000000000005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ASA!$A$28:$A$32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ASA!$K$28:$K$32</c:f>
              <c:numCache>
                <c:formatCode>0.00</c:formatCode>
                <c:ptCount val="5"/>
                <c:pt idx="0">
                  <c:v>11.6</c:v>
                </c:pt>
                <c:pt idx="1">
                  <c:v>10.1</c:v>
                </c:pt>
                <c:pt idx="2">
                  <c:v>8.48</c:v>
                </c:pt>
                <c:pt idx="3">
                  <c:v>10</c:v>
                </c:pt>
                <c:pt idx="4">
                  <c:v>6.46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C03-4961-A3ED-8377662406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0350527"/>
        <c:axId val="1870351007"/>
      </c:scatterChart>
      <c:valAx>
        <c:axId val="1870350527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Uke</a:t>
                </a:r>
              </a:p>
            </c:rich>
          </c:tx>
          <c:overlay val="0"/>
          <c:spPr>
            <a:noFill/>
            <a:ln w="6350"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351007"/>
        <c:crosses val="autoZero"/>
        <c:crossBetween val="midCat"/>
        <c:majorUnit val="3"/>
      </c:valAx>
      <c:valAx>
        <c:axId val="1870351007"/>
        <c:scaling>
          <c:orientation val="minMax"/>
          <c:max val="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Tøyning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350527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Tøyning mot uke (ASA 60 °C)</a:t>
            </a:r>
          </a:p>
        </c:rich>
      </c:tx>
      <c:layout>
        <c:manualLayout>
          <c:xMode val="edge"/>
          <c:yMode val="edge"/>
          <c:x val="0.23478491114536609"/>
          <c:y val="3.70371866871828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Tørr</c:v>
          </c:tx>
          <c:spPr>
            <a:ln w="12700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diamond"/>
            <c:size val="5"/>
            <c:spPr>
              <a:solidFill>
                <a:srgbClr val="C00000"/>
              </a:solidFill>
              <a:ln w="22225">
                <a:solidFill>
                  <a:srgbClr val="C00000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ASA!$Y$52:$Y$56</c:f>
                <c:numCache>
                  <c:formatCode>General</c:formatCode>
                  <c:ptCount val="5"/>
                  <c:pt idx="0">
                    <c:v>0.27650000000000002</c:v>
                  </c:pt>
                  <c:pt idx="1">
                    <c:v>0.36049999999999999</c:v>
                  </c:pt>
                  <c:pt idx="2">
                    <c:v>0.68500000000000005</c:v>
                  </c:pt>
                  <c:pt idx="3">
                    <c:v>0.88</c:v>
                  </c:pt>
                  <c:pt idx="4">
                    <c:v>0.73499999999999999</c:v>
                  </c:pt>
                </c:numCache>
              </c:numRef>
            </c:plus>
            <c:minus>
              <c:numRef>
                <c:f>ASA!$Y$52:$Y$56</c:f>
                <c:numCache>
                  <c:formatCode>General</c:formatCode>
                  <c:ptCount val="5"/>
                  <c:pt idx="0">
                    <c:v>0.27650000000000002</c:v>
                  </c:pt>
                  <c:pt idx="1">
                    <c:v>0.36049999999999999</c:v>
                  </c:pt>
                  <c:pt idx="2">
                    <c:v>0.68500000000000005</c:v>
                  </c:pt>
                  <c:pt idx="3">
                    <c:v>0.88</c:v>
                  </c:pt>
                  <c:pt idx="4">
                    <c:v>0.73499999999999999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ASA!$A$52:$A$56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ASA!$W$52:$W$56</c:f>
              <c:numCache>
                <c:formatCode>0.00</c:formatCode>
                <c:ptCount val="5"/>
                <c:pt idx="0">
                  <c:v>11.6</c:v>
                </c:pt>
                <c:pt idx="1">
                  <c:v>10.3</c:v>
                </c:pt>
                <c:pt idx="2">
                  <c:v>8.93</c:v>
                </c:pt>
                <c:pt idx="3">
                  <c:v>10.4</c:v>
                </c:pt>
                <c:pt idx="4">
                  <c:v>8.7799999999999994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FC-4B2F-91B6-98DF41C88B45}"/>
            </c:ext>
          </c:extLst>
        </c:ser>
        <c:ser>
          <c:idx val="1"/>
          <c:order val="1"/>
          <c:tx>
            <c:v>Våt</c:v>
          </c:tx>
          <c:spPr>
            <a:ln w="12700" cap="rnd">
              <a:solidFill>
                <a:srgbClr val="FF4040"/>
              </a:solidFill>
              <a:prstDash val="lgDash"/>
              <a:round/>
            </a:ln>
            <a:effectLst/>
          </c:spPr>
          <c:marker>
            <c:symbol val="diamond"/>
            <c:size val="5"/>
            <c:spPr>
              <a:solidFill>
                <a:srgbClr val="FF4040"/>
              </a:solidFill>
              <a:ln w="19050">
                <a:solidFill>
                  <a:srgbClr val="FF4040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ASA!$M$52:$M$56</c:f>
                <c:numCache>
                  <c:formatCode>General</c:formatCode>
                  <c:ptCount val="5"/>
                  <c:pt idx="0">
                    <c:v>0.27650000000000002</c:v>
                  </c:pt>
                  <c:pt idx="1">
                    <c:v>0.56999999999999995</c:v>
                  </c:pt>
                  <c:pt idx="2">
                    <c:v>0.71</c:v>
                  </c:pt>
                  <c:pt idx="3">
                    <c:v>0.3075</c:v>
                  </c:pt>
                  <c:pt idx="4">
                    <c:v>0.3</c:v>
                  </c:pt>
                </c:numCache>
              </c:numRef>
            </c:plus>
            <c:minus>
              <c:numRef>
                <c:f>ASA!$M$52:$M$56</c:f>
                <c:numCache>
                  <c:formatCode>General</c:formatCode>
                  <c:ptCount val="5"/>
                  <c:pt idx="0">
                    <c:v>0.27650000000000002</c:v>
                  </c:pt>
                  <c:pt idx="1">
                    <c:v>0.56999999999999995</c:v>
                  </c:pt>
                  <c:pt idx="2">
                    <c:v>0.71</c:v>
                  </c:pt>
                  <c:pt idx="3">
                    <c:v>0.3075</c:v>
                  </c:pt>
                  <c:pt idx="4">
                    <c:v>0.3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ASA!$A$52:$A$56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ASA!$K$52:$K$56</c:f>
              <c:numCache>
                <c:formatCode>0.00</c:formatCode>
                <c:ptCount val="5"/>
                <c:pt idx="0">
                  <c:v>11.6</c:v>
                </c:pt>
                <c:pt idx="1">
                  <c:v>9.57</c:v>
                </c:pt>
                <c:pt idx="2">
                  <c:v>8.66</c:v>
                </c:pt>
                <c:pt idx="3">
                  <c:v>10.199999999999999</c:v>
                </c:pt>
                <c:pt idx="4">
                  <c:v>8.2799999999999994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FFC-4B2F-91B6-98DF41C88B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0350527"/>
        <c:axId val="1870351007"/>
      </c:scatterChart>
      <c:valAx>
        <c:axId val="1870350527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Uke</a:t>
                </a:r>
              </a:p>
            </c:rich>
          </c:tx>
          <c:overlay val="0"/>
          <c:spPr>
            <a:noFill/>
            <a:ln w="6350"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351007"/>
        <c:crosses val="autoZero"/>
        <c:crossBetween val="midCat"/>
        <c:majorUnit val="3"/>
      </c:valAx>
      <c:valAx>
        <c:axId val="1870351007"/>
        <c:scaling>
          <c:orientation val="minMax"/>
          <c:max val="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Tøyning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350527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Elastisitetsmodul mot uke (ASA 20–40–60 °C)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Tørr 60 °C</c:v>
          </c:tx>
          <c:spPr>
            <a:ln w="12700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diamond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  <a:prstDash val="solid"/>
              </a:ln>
              <a:effectLst/>
            </c:spPr>
          </c:marker>
          <c:xVal>
            <c:numRef>
              <c:f>ASA!$A$52:$A$56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ASA!$N$52:$N$56</c:f>
              <c:numCache>
                <c:formatCode>0.00</c:formatCode>
                <c:ptCount val="5"/>
                <c:pt idx="0">
                  <c:v>1030</c:v>
                </c:pt>
                <c:pt idx="1">
                  <c:v>955</c:v>
                </c:pt>
                <c:pt idx="2">
                  <c:v>910</c:v>
                </c:pt>
                <c:pt idx="3">
                  <c:v>885</c:v>
                </c:pt>
                <c:pt idx="4">
                  <c:v>766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46-4846-A050-29B33426E2BC}"/>
            </c:ext>
          </c:extLst>
        </c:ser>
        <c:ser>
          <c:idx val="1"/>
          <c:order val="1"/>
          <c:tx>
            <c:v>Våt 60 °C</c:v>
          </c:tx>
          <c:spPr>
            <a:ln w="12700" cap="rnd">
              <a:solidFill>
                <a:srgbClr val="FF4040"/>
              </a:solidFill>
              <a:prstDash val="lgDash"/>
              <a:round/>
            </a:ln>
            <a:effectLst/>
          </c:spPr>
          <c:marker>
            <c:symbol val="diamond"/>
            <c:size val="5"/>
            <c:spPr>
              <a:solidFill>
                <a:srgbClr val="FF4040"/>
              </a:solidFill>
              <a:ln w="9525">
                <a:solidFill>
                  <a:srgbClr val="FF4040"/>
                </a:solidFill>
                <a:prstDash val="solid"/>
              </a:ln>
              <a:effectLst/>
            </c:spPr>
          </c:marker>
          <c:xVal>
            <c:numRef>
              <c:f>ASA!$A$52:$A$56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ASA!$B$52:$B$56</c:f>
              <c:numCache>
                <c:formatCode>0.00</c:formatCode>
                <c:ptCount val="5"/>
                <c:pt idx="0">
                  <c:v>1030</c:v>
                </c:pt>
                <c:pt idx="1">
                  <c:v>882</c:v>
                </c:pt>
                <c:pt idx="2">
                  <c:v>902</c:v>
                </c:pt>
                <c:pt idx="3">
                  <c:v>959</c:v>
                </c:pt>
                <c:pt idx="4">
                  <c:v>979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46-4846-A050-29B33426E2BC}"/>
            </c:ext>
          </c:extLst>
        </c:ser>
        <c:ser>
          <c:idx val="2"/>
          <c:order val="2"/>
          <c:tx>
            <c:v>Tørr 40 °C</c:v>
          </c:tx>
          <c:spPr>
            <a:ln w="12700" cap="rnd">
              <a:solidFill>
                <a:srgbClr val="375623"/>
              </a:solidFill>
              <a:prstDash val="solid"/>
              <a:round/>
            </a:ln>
            <a:effectLst/>
          </c:spPr>
          <c:marker>
            <c:symbol val="triangle"/>
            <c:size val="5"/>
            <c:spPr>
              <a:solidFill>
                <a:srgbClr val="375623"/>
              </a:solidFill>
              <a:ln w="9525">
                <a:solidFill>
                  <a:srgbClr val="375623"/>
                </a:solidFill>
                <a:prstDash val="solid"/>
              </a:ln>
              <a:effectLst/>
            </c:spPr>
          </c:marker>
          <c:xVal>
            <c:numRef>
              <c:f>ASA!$A$28:$A$32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ASA!$N$28:$N$32</c:f>
              <c:numCache>
                <c:formatCode>0.00</c:formatCode>
                <c:ptCount val="5"/>
                <c:pt idx="0">
                  <c:v>1030</c:v>
                </c:pt>
                <c:pt idx="1">
                  <c:v>849</c:v>
                </c:pt>
                <c:pt idx="2">
                  <c:v>895</c:v>
                </c:pt>
                <c:pt idx="3">
                  <c:v>929</c:v>
                </c:pt>
                <c:pt idx="4">
                  <c:v>760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46-4846-A050-29B33426E2BC}"/>
            </c:ext>
          </c:extLst>
        </c:ser>
        <c:ser>
          <c:idx val="3"/>
          <c:order val="3"/>
          <c:tx>
            <c:v>Våt 40 °C</c:v>
          </c:tx>
          <c:spPr>
            <a:ln w="12700" cap="rnd">
              <a:solidFill>
                <a:srgbClr val="70AD47"/>
              </a:solidFill>
              <a:prstDash val="lgDash"/>
              <a:round/>
            </a:ln>
            <a:effectLst/>
          </c:spPr>
          <c:marker>
            <c:symbol val="triangle"/>
            <c:size val="5"/>
            <c:spPr>
              <a:solidFill>
                <a:srgbClr val="70AD47"/>
              </a:solidFill>
              <a:ln w="9525">
                <a:solidFill>
                  <a:srgbClr val="70AD47"/>
                </a:solidFill>
                <a:prstDash val="solid"/>
              </a:ln>
              <a:effectLst/>
            </c:spPr>
          </c:marker>
          <c:xVal>
            <c:numRef>
              <c:f>ASA!$A$28:$A$32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ASA!$B$28:$B$32</c:f>
              <c:numCache>
                <c:formatCode>0.00</c:formatCode>
                <c:ptCount val="5"/>
                <c:pt idx="0">
                  <c:v>1030</c:v>
                </c:pt>
                <c:pt idx="1">
                  <c:v>863</c:v>
                </c:pt>
                <c:pt idx="2">
                  <c:v>912</c:v>
                </c:pt>
                <c:pt idx="3">
                  <c:v>923</c:v>
                </c:pt>
                <c:pt idx="4">
                  <c:v>618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A46-4846-A050-29B33426E2BC}"/>
            </c:ext>
          </c:extLst>
        </c:ser>
        <c:ser>
          <c:idx val="4"/>
          <c:order val="4"/>
          <c:tx>
            <c:v>Tørr 20 °C</c:v>
          </c:tx>
          <c:spPr>
            <a:ln w="12700" cap="rnd">
              <a:solidFill>
                <a:srgbClr val="1F4E79"/>
              </a:solidFill>
              <a:prstDash val="solid"/>
              <a:round/>
            </a:ln>
            <a:effectLst/>
          </c:spPr>
          <c:marker>
            <c:symbol val="square"/>
            <c:size val="5"/>
            <c:spPr>
              <a:solidFill>
                <a:srgbClr val="1F4E79"/>
              </a:solidFill>
              <a:ln w="9525">
                <a:solidFill>
                  <a:srgbClr val="1F4E79"/>
                </a:solidFill>
                <a:prstDash val="solid"/>
              </a:ln>
              <a:effectLst/>
            </c:spPr>
          </c:marker>
          <c:xVal>
            <c:numRef>
              <c:f>ASA!$A$4:$A$8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ASA!$N$4:$N$8</c:f>
              <c:numCache>
                <c:formatCode>0.00</c:formatCode>
                <c:ptCount val="5"/>
                <c:pt idx="0">
                  <c:v>1030</c:v>
                </c:pt>
                <c:pt idx="1">
                  <c:v>852</c:v>
                </c:pt>
                <c:pt idx="2">
                  <c:v>935</c:v>
                </c:pt>
                <c:pt idx="3">
                  <c:v>1020</c:v>
                </c:pt>
                <c:pt idx="4">
                  <c:v>1060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A46-4846-A050-29B33426E2BC}"/>
            </c:ext>
          </c:extLst>
        </c:ser>
        <c:ser>
          <c:idx val="5"/>
          <c:order val="5"/>
          <c:tx>
            <c:v>Våt 20 °C</c:v>
          </c:tx>
          <c:spPr>
            <a:ln w="12700" cap="rnd">
              <a:solidFill>
                <a:srgbClr val="5B9BD5"/>
              </a:solidFill>
              <a:prstDash val="lgDash"/>
              <a:round/>
            </a:ln>
            <a:effectLst/>
          </c:spPr>
          <c:marker>
            <c:symbol val="square"/>
            <c:size val="5"/>
            <c:spPr>
              <a:solidFill>
                <a:srgbClr val="5B9BD5"/>
              </a:solidFill>
              <a:ln w="9525">
                <a:solidFill>
                  <a:srgbClr val="5B9BD5"/>
                </a:solidFill>
                <a:prstDash val="solid"/>
              </a:ln>
              <a:effectLst/>
            </c:spPr>
          </c:marker>
          <c:xVal>
            <c:numRef>
              <c:f>ASA!$A$4:$A$8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ASA!$B$4:$B$8</c:f>
              <c:numCache>
                <c:formatCode>0.00</c:formatCode>
                <c:ptCount val="5"/>
                <c:pt idx="0">
                  <c:v>1030</c:v>
                </c:pt>
                <c:pt idx="1">
                  <c:v>846</c:v>
                </c:pt>
                <c:pt idx="2">
                  <c:v>844</c:v>
                </c:pt>
                <c:pt idx="3">
                  <c:v>931</c:v>
                </c:pt>
                <c:pt idx="4">
                  <c:v>504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A46-4846-A050-29B33426E2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3242943"/>
        <c:axId val="1523243903"/>
      </c:scatterChart>
      <c:valAx>
        <c:axId val="1523242943"/>
        <c:scaling>
          <c:orientation val="minMax"/>
          <c:max val="1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Uke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243903"/>
        <c:crosses val="autoZero"/>
        <c:crossBetween val="midCat"/>
        <c:majorUnit val="3"/>
      </c:valAx>
      <c:valAx>
        <c:axId val="1523243903"/>
        <c:scaling>
          <c:orientation val="minMax"/>
          <c:max val="16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Elastisitetsmodul [MPa]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2429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Flytespenning mot uke (ASA 20–40–60 °C)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Tørr 60 °C</c:v>
          </c:tx>
          <c:spPr>
            <a:ln w="12700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diamond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ASA!$A$52:$A$56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ASA!$Q$52:$Q$56</c:f>
              <c:numCache>
                <c:formatCode>0.00</c:formatCode>
                <c:ptCount val="5"/>
                <c:pt idx="0">
                  <c:v>13.7</c:v>
                </c:pt>
                <c:pt idx="1">
                  <c:v>15.1</c:v>
                </c:pt>
                <c:pt idx="2">
                  <c:v>14.8</c:v>
                </c:pt>
                <c:pt idx="3">
                  <c:v>13.5</c:v>
                </c:pt>
                <c:pt idx="4">
                  <c:v>10.6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CD3-41F6-930F-DEEC74E7B0EC}"/>
            </c:ext>
          </c:extLst>
        </c:ser>
        <c:ser>
          <c:idx val="1"/>
          <c:order val="1"/>
          <c:tx>
            <c:v>Våt 60 °C</c:v>
          </c:tx>
          <c:spPr>
            <a:ln w="12700" cap="rnd">
              <a:solidFill>
                <a:srgbClr val="FF4040"/>
              </a:solidFill>
              <a:prstDash val="lgDash"/>
              <a:round/>
            </a:ln>
            <a:effectLst/>
          </c:spPr>
          <c:marker>
            <c:symbol val="diamond"/>
            <c:size val="5"/>
            <c:spPr>
              <a:solidFill>
                <a:srgbClr val="FF4040"/>
              </a:solidFill>
              <a:ln w="9525">
                <a:solidFill>
                  <a:srgbClr val="FF4040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ASA!$A$52:$A$56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ASA!$E$52:$E$56</c:f>
              <c:numCache>
                <c:formatCode>0.00</c:formatCode>
                <c:ptCount val="5"/>
                <c:pt idx="0">
                  <c:v>13.7</c:v>
                </c:pt>
                <c:pt idx="1">
                  <c:v>17.399999999999999</c:v>
                </c:pt>
                <c:pt idx="2">
                  <c:v>16.600000000000001</c:v>
                </c:pt>
                <c:pt idx="3">
                  <c:v>14.3</c:v>
                </c:pt>
                <c:pt idx="4">
                  <c:v>13.1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CD3-41F6-930F-DEEC74E7B0EC}"/>
            </c:ext>
          </c:extLst>
        </c:ser>
        <c:ser>
          <c:idx val="2"/>
          <c:order val="2"/>
          <c:tx>
            <c:v>Tørr 40 °C</c:v>
          </c:tx>
          <c:spPr>
            <a:ln w="12700" cap="rnd">
              <a:solidFill>
                <a:srgbClr val="375623"/>
              </a:solidFill>
              <a:prstDash val="solid"/>
              <a:round/>
            </a:ln>
            <a:effectLst/>
          </c:spPr>
          <c:marker>
            <c:symbol val="triangle"/>
            <c:size val="5"/>
            <c:spPr>
              <a:solidFill>
                <a:srgbClr val="375623"/>
              </a:solidFill>
              <a:ln w="9525">
                <a:solidFill>
                  <a:srgbClr val="375623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ASA!$A$28:$A$32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ASA!$Q$28:$Q$32</c:f>
              <c:numCache>
                <c:formatCode>0.00</c:formatCode>
                <c:ptCount val="5"/>
                <c:pt idx="0">
                  <c:v>13.7</c:v>
                </c:pt>
                <c:pt idx="1">
                  <c:v>16.600000000000001</c:v>
                </c:pt>
                <c:pt idx="2">
                  <c:v>14</c:v>
                </c:pt>
                <c:pt idx="3">
                  <c:v>12.4</c:v>
                </c:pt>
                <c:pt idx="4">
                  <c:v>8.9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CD3-41F6-930F-DEEC74E7B0EC}"/>
            </c:ext>
          </c:extLst>
        </c:ser>
        <c:ser>
          <c:idx val="3"/>
          <c:order val="3"/>
          <c:tx>
            <c:v>Våt 40 °C</c:v>
          </c:tx>
          <c:spPr>
            <a:ln w="12700" cap="rnd">
              <a:solidFill>
                <a:srgbClr val="70AD47"/>
              </a:solidFill>
              <a:prstDash val="lgDash"/>
              <a:round/>
            </a:ln>
            <a:effectLst/>
          </c:spPr>
          <c:marker>
            <c:symbol val="triangle"/>
            <c:size val="5"/>
            <c:spPr>
              <a:solidFill>
                <a:srgbClr val="70AD47"/>
              </a:solidFill>
              <a:ln w="9525">
                <a:solidFill>
                  <a:srgbClr val="70AD47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ASA!$A$28:$A$32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ASA!$E$28:$E$32</c:f>
              <c:numCache>
                <c:formatCode>0.00</c:formatCode>
                <c:ptCount val="5"/>
                <c:pt idx="0">
                  <c:v>13.7</c:v>
                </c:pt>
                <c:pt idx="1">
                  <c:v>14.4</c:v>
                </c:pt>
                <c:pt idx="2">
                  <c:v>15</c:v>
                </c:pt>
                <c:pt idx="3">
                  <c:v>14.2</c:v>
                </c:pt>
                <c:pt idx="4">
                  <c:v>19.100000000000001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CD3-41F6-930F-DEEC74E7B0EC}"/>
            </c:ext>
          </c:extLst>
        </c:ser>
        <c:ser>
          <c:idx val="4"/>
          <c:order val="4"/>
          <c:tx>
            <c:v>Tørr 20 °C</c:v>
          </c:tx>
          <c:spPr>
            <a:ln w="12700" cap="rnd">
              <a:solidFill>
                <a:srgbClr val="1F4E79"/>
              </a:solidFill>
              <a:prstDash val="solid"/>
              <a:round/>
            </a:ln>
            <a:effectLst/>
          </c:spPr>
          <c:marker>
            <c:symbol val="square"/>
            <c:size val="5"/>
            <c:spPr>
              <a:solidFill>
                <a:srgbClr val="1F4E79"/>
              </a:solidFill>
              <a:ln w="9525">
                <a:solidFill>
                  <a:srgbClr val="1F4E79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ASA!$A$4:$A$8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ASA!$Q$4:$Q$8</c:f>
              <c:numCache>
                <c:formatCode>0.00</c:formatCode>
                <c:ptCount val="5"/>
                <c:pt idx="0">
                  <c:v>13.7</c:v>
                </c:pt>
                <c:pt idx="1">
                  <c:v>15.2</c:v>
                </c:pt>
                <c:pt idx="2">
                  <c:v>14.6</c:v>
                </c:pt>
                <c:pt idx="3">
                  <c:v>11</c:v>
                </c:pt>
                <c:pt idx="4">
                  <c:v>16.2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CD3-41F6-930F-DEEC74E7B0EC}"/>
            </c:ext>
          </c:extLst>
        </c:ser>
        <c:ser>
          <c:idx val="5"/>
          <c:order val="5"/>
          <c:tx>
            <c:v>Våt 20 °C</c:v>
          </c:tx>
          <c:spPr>
            <a:ln w="12700" cap="rnd">
              <a:solidFill>
                <a:srgbClr val="5B9BD5"/>
              </a:solidFill>
              <a:prstDash val="lgDash"/>
              <a:round/>
            </a:ln>
            <a:effectLst/>
          </c:spPr>
          <c:marker>
            <c:symbol val="square"/>
            <c:size val="5"/>
            <c:spPr>
              <a:solidFill>
                <a:srgbClr val="5B9BD5"/>
              </a:solidFill>
              <a:ln w="9525">
                <a:solidFill>
                  <a:srgbClr val="5B9BD5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ASA!$A$4:$A$8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ASA!$E$4:$E$8</c:f>
              <c:numCache>
                <c:formatCode>0.00</c:formatCode>
                <c:ptCount val="5"/>
                <c:pt idx="0">
                  <c:v>13.7</c:v>
                </c:pt>
                <c:pt idx="1">
                  <c:v>15.9</c:v>
                </c:pt>
                <c:pt idx="2">
                  <c:v>13.8</c:v>
                </c:pt>
                <c:pt idx="3">
                  <c:v>14.2</c:v>
                </c:pt>
                <c:pt idx="4">
                  <c:v>6.1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CD3-41F6-930F-DEEC74E7B0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9392879"/>
        <c:axId val="429397679"/>
      </c:scatterChart>
      <c:valAx>
        <c:axId val="429392879"/>
        <c:scaling>
          <c:orientation val="minMax"/>
          <c:max val="1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Uke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397679"/>
        <c:crosses val="autoZero"/>
        <c:crossBetween val="midCat"/>
        <c:majorUnit val="3"/>
      </c:valAx>
      <c:valAx>
        <c:axId val="429397679"/>
        <c:scaling>
          <c:orientation val="minMax"/>
          <c:max val="4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Flytegrense (0,2%) [MPa]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3928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Tøyning mot uke (ASA 20–40–60 °C)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Tørr 60 °C</c:v>
          </c:tx>
          <c:spPr>
            <a:ln w="12700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diamond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ASA!$A$52:$A$56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ASA!$W$52:$W$56</c:f>
              <c:numCache>
                <c:formatCode>0.00</c:formatCode>
                <c:ptCount val="5"/>
                <c:pt idx="0">
                  <c:v>11.6</c:v>
                </c:pt>
                <c:pt idx="1">
                  <c:v>10.3</c:v>
                </c:pt>
                <c:pt idx="2">
                  <c:v>8.93</c:v>
                </c:pt>
                <c:pt idx="3">
                  <c:v>10.4</c:v>
                </c:pt>
                <c:pt idx="4">
                  <c:v>8.7799999999999994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9BE-4126-8F7B-5AED058ADFC5}"/>
            </c:ext>
          </c:extLst>
        </c:ser>
        <c:ser>
          <c:idx val="1"/>
          <c:order val="1"/>
          <c:tx>
            <c:v>Våt 60 °C</c:v>
          </c:tx>
          <c:spPr>
            <a:ln w="12700" cap="rnd">
              <a:solidFill>
                <a:srgbClr val="FF4040"/>
              </a:solidFill>
              <a:prstDash val="lgDash"/>
              <a:round/>
            </a:ln>
            <a:effectLst/>
          </c:spPr>
          <c:marker>
            <c:symbol val="diamond"/>
            <c:size val="5"/>
            <c:spPr>
              <a:solidFill>
                <a:srgbClr val="FF4040"/>
              </a:solidFill>
              <a:ln w="9525">
                <a:solidFill>
                  <a:srgbClr val="FF4040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ASA!$A$52:$A$56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ASA!$K$52:$K$56</c:f>
              <c:numCache>
                <c:formatCode>0.00</c:formatCode>
                <c:ptCount val="5"/>
                <c:pt idx="0">
                  <c:v>11.6</c:v>
                </c:pt>
                <c:pt idx="1">
                  <c:v>9.57</c:v>
                </c:pt>
                <c:pt idx="2">
                  <c:v>8.66</c:v>
                </c:pt>
                <c:pt idx="3">
                  <c:v>10.199999999999999</c:v>
                </c:pt>
                <c:pt idx="4">
                  <c:v>8.2799999999999994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9BE-4126-8F7B-5AED058ADFC5}"/>
            </c:ext>
          </c:extLst>
        </c:ser>
        <c:ser>
          <c:idx val="2"/>
          <c:order val="2"/>
          <c:tx>
            <c:v>Tørr 40 °C</c:v>
          </c:tx>
          <c:spPr>
            <a:ln w="12700" cap="rnd">
              <a:solidFill>
                <a:srgbClr val="375623"/>
              </a:solidFill>
              <a:prstDash val="solid"/>
              <a:round/>
            </a:ln>
            <a:effectLst/>
          </c:spPr>
          <c:marker>
            <c:symbol val="triangle"/>
            <c:size val="5"/>
            <c:spPr>
              <a:solidFill>
                <a:srgbClr val="375623"/>
              </a:solidFill>
              <a:ln w="9525">
                <a:solidFill>
                  <a:srgbClr val="375623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ASA!$A$28:$A$32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ASA!$W$28:$W$32</c:f>
              <c:numCache>
                <c:formatCode>0.00</c:formatCode>
                <c:ptCount val="5"/>
                <c:pt idx="0">
                  <c:v>11.6</c:v>
                </c:pt>
                <c:pt idx="1">
                  <c:v>9.61</c:v>
                </c:pt>
                <c:pt idx="2">
                  <c:v>10.1</c:v>
                </c:pt>
                <c:pt idx="3">
                  <c:v>8.7100000000000009</c:v>
                </c:pt>
                <c:pt idx="4">
                  <c:v>8.76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9BE-4126-8F7B-5AED058ADFC5}"/>
            </c:ext>
          </c:extLst>
        </c:ser>
        <c:ser>
          <c:idx val="3"/>
          <c:order val="3"/>
          <c:tx>
            <c:v>Våt 40 °C</c:v>
          </c:tx>
          <c:spPr>
            <a:ln w="12700" cap="rnd">
              <a:solidFill>
                <a:srgbClr val="70AD47"/>
              </a:solidFill>
              <a:prstDash val="lgDash"/>
              <a:round/>
            </a:ln>
            <a:effectLst/>
          </c:spPr>
          <c:marker>
            <c:symbol val="triangle"/>
            <c:size val="5"/>
            <c:spPr>
              <a:solidFill>
                <a:srgbClr val="70AD47"/>
              </a:solidFill>
              <a:ln w="9525">
                <a:solidFill>
                  <a:srgbClr val="70AD47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ASA!$A$28:$A$32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ASA!$K$28:$K$32</c:f>
              <c:numCache>
                <c:formatCode>0.00</c:formatCode>
                <c:ptCount val="5"/>
                <c:pt idx="0">
                  <c:v>11.6</c:v>
                </c:pt>
                <c:pt idx="1">
                  <c:v>10.1</c:v>
                </c:pt>
                <c:pt idx="2">
                  <c:v>8.48</c:v>
                </c:pt>
                <c:pt idx="3">
                  <c:v>10</c:v>
                </c:pt>
                <c:pt idx="4">
                  <c:v>6.46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9BE-4126-8F7B-5AED058ADFC5}"/>
            </c:ext>
          </c:extLst>
        </c:ser>
        <c:ser>
          <c:idx val="4"/>
          <c:order val="4"/>
          <c:tx>
            <c:v>Tørr 20 °C</c:v>
          </c:tx>
          <c:spPr>
            <a:ln w="12700" cap="rnd">
              <a:solidFill>
                <a:srgbClr val="1F4E79"/>
              </a:solidFill>
              <a:prstDash val="solid"/>
              <a:round/>
            </a:ln>
            <a:effectLst/>
          </c:spPr>
          <c:marker>
            <c:symbol val="square"/>
            <c:size val="5"/>
            <c:spPr>
              <a:solidFill>
                <a:srgbClr val="1F4E79"/>
              </a:solidFill>
              <a:ln w="9525">
                <a:solidFill>
                  <a:srgbClr val="1F4E79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ASA!$A$4:$A$8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ASA!$W$4:$W$8</c:f>
              <c:numCache>
                <c:formatCode>0.00</c:formatCode>
                <c:ptCount val="5"/>
                <c:pt idx="0">
                  <c:v>11.6</c:v>
                </c:pt>
                <c:pt idx="1">
                  <c:v>11.1</c:v>
                </c:pt>
                <c:pt idx="2">
                  <c:v>8.33</c:v>
                </c:pt>
                <c:pt idx="3">
                  <c:v>8.98</c:v>
                </c:pt>
                <c:pt idx="4">
                  <c:v>8.18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9BE-4126-8F7B-5AED058ADFC5}"/>
            </c:ext>
          </c:extLst>
        </c:ser>
        <c:ser>
          <c:idx val="5"/>
          <c:order val="5"/>
          <c:tx>
            <c:v>Våt 20 °C</c:v>
          </c:tx>
          <c:spPr>
            <a:ln w="12700" cap="rnd">
              <a:solidFill>
                <a:srgbClr val="5B9BD5"/>
              </a:solidFill>
              <a:prstDash val="lgDash"/>
              <a:round/>
            </a:ln>
            <a:effectLst/>
          </c:spPr>
          <c:marker>
            <c:symbol val="square"/>
            <c:size val="5"/>
            <c:spPr>
              <a:solidFill>
                <a:srgbClr val="5B9BD5"/>
              </a:solidFill>
              <a:ln w="9525">
                <a:solidFill>
                  <a:srgbClr val="5B9BD5"/>
                </a:solidFill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ASA!$A$4:$A$8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ASA!$K$4:$K$8</c:f>
              <c:numCache>
                <c:formatCode>0.00</c:formatCode>
                <c:ptCount val="5"/>
                <c:pt idx="0">
                  <c:v>11.6</c:v>
                </c:pt>
                <c:pt idx="1">
                  <c:v>10.199999999999999</c:v>
                </c:pt>
                <c:pt idx="2">
                  <c:v>8.2100000000000009</c:v>
                </c:pt>
                <c:pt idx="3">
                  <c:v>9.08</c:v>
                </c:pt>
                <c:pt idx="4">
                  <c:v>6.49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9BE-4126-8F7B-5AED058ADF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6478719"/>
        <c:axId val="356471039"/>
      </c:scatterChart>
      <c:valAx>
        <c:axId val="356478719"/>
        <c:scaling>
          <c:orientation val="minMax"/>
          <c:max val="1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Uke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471039"/>
        <c:crosses val="autoZero"/>
        <c:crossBetween val="midCat"/>
        <c:majorUnit val="3"/>
      </c:valAx>
      <c:valAx>
        <c:axId val="356471039"/>
        <c:scaling>
          <c:orientation val="minMax"/>
          <c:max val="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Tøyning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4787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9.xml"/><Relationship Id="rId13" Type="http://schemas.openxmlformats.org/officeDocument/2006/relationships/chart" Target="../charts/chart24.xml"/><Relationship Id="rId3" Type="http://schemas.openxmlformats.org/officeDocument/2006/relationships/chart" Target="../charts/chart14.xml"/><Relationship Id="rId7" Type="http://schemas.openxmlformats.org/officeDocument/2006/relationships/chart" Target="../charts/chart18.xml"/><Relationship Id="rId12" Type="http://schemas.openxmlformats.org/officeDocument/2006/relationships/chart" Target="../charts/chart23.xml"/><Relationship Id="rId2" Type="http://schemas.openxmlformats.org/officeDocument/2006/relationships/chart" Target="../charts/chart13.xml"/><Relationship Id="rId16" Type="http://schemas.openxmlformats.org/officeDocument/2006/relationships/chart" Target="../charts/chart27.xml"/><Relationship Id="rId1" Type="http://schemas.openxmlformats.org/officeDocument/2006/relationships/chart" Target="../charts/chart12.xml"/><Relationship Id="rId6" Type="http://schemas.openxmlformats.org/officeDocument/2006/relationships/chart" Target="../charts/chart17.xml"/><Relationship Id="rId11" Type="http://schemas.openxmlformats.org/officeDocument/2006/relationships/chart" Target="../charts/chart22.xml"/><Relationship Id="rId5" Type="http://schemas.openxmlformats.org/officeDocument/2006/relationships/chart" Target="../charts/chart16.xml"/><Relationship Id="rId15" Type="http://schemas.openxmlformats.org/officeDocument/2006/relationships/chart" Target="../charts/chart26.xml"/><Relationship Id="rId10" Type="http://schemas.openxmlformats.org/officeDocument/2006/relationships/chart" Target="../charts/chart21.xml"/><Relationship Id="rId4" Type="http://schemas.openxmlformats.org/officeDocument/2006/relationships/chart" Target="../charts/chart15.xml"/><Relationship Id="rId9" Type="http://schemas.openxmlformats.org/officeDocument/2006/relationships/chart" Target="../charts/chart20.xml"/><Relationship Id="rId14" Type="http://schemas.openxmlformats.org/officeDocument/2006/relationships/chart" Target="../charts/chart25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5.xml"/><Relationship Id="rId13" Type="http://schemas.openxmlformats.org/officeDocument/2006/relationships/chart" Target="../charts/chart40.xml"/><Relationship Id="rId3" Type="http://schemas.openxmlformats.org/officeDocument/2006/relationships/chart" Target="../charts/chart30.xml"/><Relationship Id="rId7" Type="http://schemas.openxmlformats.org/officeDocument/2006/relationships/chart" Target="../charts/chart34.xml"/><Relationship Id="rId12" Type="http://schemas.openxmlformats.org/officeDocument/2006/relationships/chart" Target="../charts/chart39.xml"/><Relationship Id="rId2" Type="http://schemas.openxmlformats.org/officeDocument/2006/relationships/chart" Target="../charts/chart29.xml"/><Relationship Id="rId16" Type="http://schemas.openxmlformats.org/officeDocument/2006/relationships/chart" Target="../charts/chart43.xml"/><Relationship Id="rId1" Type="http://schemas.openxmlformats.org/officeDocument/2006/relationships/chart" Target="../charts/chart28.xml"/><Relationship Id="rId6" Type="http://schemas.openxmlformats.org/officeDocument/2006/relationships/chart" Target="../charts/chart33.xml"/><Relationship Id="rId11" Type="http://schemas.openxmlformats.org/officeDocument/2006/relationships/chart" Target="../charts/chart38.xml"/><Relationship Id="rId5" Type="http://schemas.openxmlformats.org/officeDocument/2006/relationships/chart" Target="../charts/chart32.xml"/><Relationship Id="rId15" Type="http://schemas.openxmlformats.org/officeDocument/2006/relationships/chart" Target="../charts/chart42.xml"/><Relationship Id="rId10" Type="http://schemas.openxmlformats.org/officeDocument/2006/relationships/chart" Target="../charts/chart37.xml"/><Relationship Id="rId4" Type="http://schemas.openxmlformats.org/officeDocument/2006/relationships/chart" Target="../charts/chart31.xml"/><Relationship Id="rId9" Type="http://schemas.openxmlformats.org/officeDocument/2006/relationships/chart" Target="../charts/chart36.xml"/><Relationship Id="rId14" Type="http://schemas.openxmlformats.org/officeDocument/2006/relationships/chart" Target="../charts/chart41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1.xml"/><Relationship Id="rId13" Type="http://schemas.openxmlformats.org/officeDocument/2006/relationships/chart" Target="../charts/chart56.xml"/><Relationship Id="rId3" Type="http://schemas.openxmlformats.org/officeDocument/2006/relationships/chart" Target="../charts/chart46.xml"/><Relationship Id="rId7" Type="http://schemas.openxmlformats.org/officeDocument/2006/relationships/chart" Target="../charts/chart50.xml"/><Relationship Id="rId12" Type="http://schemas.openxmlformats.org/officeDocument/2006/relationships/chart" Target="../charts/chart55.xml"/><Relationship Id="rId2" Type="http://schemas.openxmlformats.org/officeDocument/2006/relationships/chart" Target="../charts/chart45.xml"/><Relationship Id="rId16" Type="http://schemas.openxmlformats.org/officeDocument/2006/relationships/chart" Target="../charts/chart59.xml"/><Relationship Id="rId1" Type="http://schemas.openxmlformats.org/officeDocument/2006/relationships/chart" Target="../charts/chart44.xml"/><Relationship Id="rId6" Type="http://schemas.openxmlformats.org/officeDocument/2006/relationships/chart" Target="../charts/chart49.xml"/><Relationship Id="rId11" Type="http://schemas.openxmlformats.org/officeDocument/2006/relationships/chart" Target="../charts/chart54.xml"/><Relationship Id="rId5" Type="http://schemas.openxmlformats.org/officeDocument/2006/relationships/chart" Target="../charts/chart48.xml"/><Relationship Id="rId15" Type="http://schemas.openxmlformats.org/officeDocument/2006/relationships/chart" Target="../charts/chart58.xml"/><Relationship Id="rId10" Type="http://schemas.openxmlformats.org/officeDocument/2006/relationships/chart" Target="../charts/chart53.xml"/><Relationship Id="rId4" Type="http://schemas.openxmlformats.org/officeDocument/2006/relationships/chart" Target="../charts/chart47.xml"/><Relationship Id="rId9" Type="http://schemas.openxmlformats.org/officeDocument/2006/relationships/chart" Target="../charts/chart52.xml"/><Relationship Id="rId14" Type="http://schemas.openxmlformats.org/officeDocument/2006/relationships/chart" Target="../charts/chart5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156882</xdr:colOff>
      <xdr:row>52</xdr:row>
      <xdr:rowOff>154081</xdr:rowOff>
    </xdr:from>
    <xdr:to>
      <xdr:col>8</xdr:col>
      <xdr:colOff>337764</xdr:colOff>
      <xdr:row>71</xdr:row>
      <xdr:rowOff>134581</xdr:rowOff>
    </xdr:to>
    <xdr:graphicFrame macro="">
      <xdr:nvGraphicFramePr>
        <xdr:cNvPr id="397" name="Chart 1">
          <a:extLst>
            <a:ext uri="{FF2B5EF4-FFF2-40B4-BE49-F238E27FC236}">
              <a16:creationId xmlns:a16="http://schemas.microsoft.com/office/drawing/2014/main" id="{111DBF95-9BF9-0283-2BBB-AED513DC76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419659</xdr:colOff>
      <xdr:row>52</xdr:row>
      <xdr:rowOff>165287</xdr:rowOff>
    </xdr:from>
    <xdr:to>
      <xdr:col>18</xdr:col>
      <xdr:colOff>510895</xdr:colOff>
      <xdr:row>71</xdr:row>
      <xdr:rowOff>145787</xdr:rowOff>
    </xdr:to>
    <xdr:graphicFrame macro="">
      <xdr:nvGraphicFramePr>
        <xdr:cNvPr id="398" name="Chart 2">
          <a:extLst>
            <a:ext uri="{FF2B5EF4-FFF2-40B4-BE49-F238E27FC236}">
              <a16:creationId xmlns:a16="http://schemas.microsoft.com/office/drawing/2014/main" id="{C29110C3-8EEF-99C8-67A2-78A967418E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603437</xdr:colOff>
      <xdr:row>52</xdr:row>
      <xdr:rowOff>176493</xdr:rowOff>
    </xdr:from>
    <xdr:to>
      <xdr:col>29</xdr:col>
      <xdr:colOff>67143</xdr:colOff>
      <xdr:row>71</xdr:row>
      <xdr:rowOff>156993</xdr:rowOff>
    </xdr:to>
    <xdr:graphicFrame macro="">
      <xdr:nvGraphicFramePr>
        <xdr:cNvPr id="399" name="Chart 3">
          <a:extLst>
            <a:ext uri="{FF2B5EF4-FFF2-40B4-BE49-F238E27FC236}">
              <a16:creationId xmlns:a16="http://schemas.microsoft.com/office/drawing/2014/main" id="{F8AF89AD-2366-E842-4FE4-926286555E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145676</xdr:colOff>
      <xdr:row>28</xdr:row>
      <xdr:rowOff>109257</xdr:rowOff>
    </xdr:from>
    <xdr:to>
      <xdr:col>13</xdr:col>
      <xdr:colOff>304147</xdr:colOff>
      <xdr:row>47</xdr:row>
      <xdr:rowOff>89757</xdr:rowOff>
    </xdr:to>
    <xdr:graphicFrame macro="">
      <xdr:nvGraphicFramePr>
        <xdr:cNvPr id="227" name="Chart 4">
          <a:extLst>
            <a:ext uri="{FF2B5EF4-FFF2-40B4-BE49-F238E27FC236}">
              <a16:creationId xmlns:a16="http://schemas.microsoft.com/office/drawing/2014/main" id="{DBA150EF-1A20-5392-0E7F-29362370D1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359706</xdr:colOff>
      <xdr:row>28</xdr:row>
      <xdr:rowOff>120463</xdr:rowOff>
    </xdr:from>
    <xdr:to>
      <xdr:col>23</xdr:col>
      <xdr:colOff>428529</xdr:colOff>
      <xdr:row>47</xdr:row>
      <xdr:rowOff>100963</xdr:rowOff>
    </xdr:to>
    <xdr:graphicFrame macro="">
      <xdr:nvGraphicFramePr>
        <xdr:cNvPr id="395" name="Chart 5">
          <a:extLst>
            <a:ext uri="{FF2B5EF4-FFF2-40B4-BE49-F238E27FC236}">
              <a16:creationId xmlns:a16="http://schemas.microsoft.com/office/drawing/2014/main" id="{5D5F7585-F93F-E617-6483-18AA1ABA02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168089</xdr:colOff>
      <xdr:row>72</xdr:row>
      <xdr:rowOff>124199</xdr:rowOff>
    </xdr:from>
    <xdr:to>
      <xdr:col>8</xdr:col>
      <xdr:colOff>348971</xdr:colOff>
      <xdr:row>91</xdr:row>
      <xdr:rowOff>104699</xdr:rowOff>
    </xdr:to>
    <xdr:graphicFrame macro="">
      <xdr:nvGraphicFramePr>
        <xdr:cNvPr id="400" name="Chart 12">
          <a:extLst>
            <a:ext uri="{FF2B5EF4-FFF2-40B4-BE49-F238E27FC236}">
              <a16:creationId xmlns:a16="http://schemas.microsoft.com/office/drawing/2014/main" id="{9F0D9A00-F2A5-351C-501E-1DAC904739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416298</xdr:colOff>
      <xdr:row>72</xdr:row>
      <xdr:rowOff>124199</xdr:rowOff>
    </xdr:from>
    <xdr:to>
      <xdr:col>18</xdr:col>
      <xdr:colOff>507534</xdr:colOff>
      <xdr:row>91</xdr:row>
      <xdr:rowOff>104699</xdr:rowOff>
    </xdr:to>
    <xdr:graphicFrame macro="">
      <xdr:nvGraphicFramePr>
        <xdr:cNvPr id="401" name="Chart 13">
          <a:extLst>
            <a:ext uri="{FF2B5EF4-FFF2-40B4-BE49-F238E27FC236}">
              <a16:creationId xmlns:a16="http://schemas.microsoft.com/office/drawing/2014/main" id="{4111C387-469D-4FDF-F242-F6B5B0FA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603436</xdr:colOff>
      <xdr:row>72</xdr:row>
      <xdr:rowOff>133724</xdr:rowOff>
    </xdr:from>
    <xdr:to>
      <xdr:col>29</xdr:col>
      <xdr:colOff>67142</xdr:colOff>
      <xdr:row>91</xdr:row>
      <xdr:rowOff>114224</xdr:rowOff>
    </xdr:to>
    <xdr:graphicFrame macro="">
      <xdr:nvGraphicFramePr>
        <xdr:cNvPr id="402" name="Chart 14">
          <a:extLst>
            <a:ext uri="{FF2B5EF4-FFF2-40B4-BE49-F238E27FC236}">
              <a16:creationId xmlns:a16="http://schemas.microsoft.com/office/drawing/2014/main" id="{0A5E1A82-67C4-BF5B-1777-548A5C8318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156882</xdr:colOff>
      <xdr:row>92</xdr:row>
      <xdr:rowOff>35113</xdr:rowOff>
    </xdr:from>
    <xdr:to>
      <xdr:col>8</xdr:col>
      <xdr:colOff>337764</xdr:colOff>
      <xdr:row>111</xdr:row>
      <xdr:rowOff>15613</xdr:rowOff>
    </xdr:to>
    <xdr:graphicFrame macro="">
      <xdr:nvGraphicFramePr>
        <xdr:cNvPr id="403" name="Chart 15">
          <a:extLst>
            <a:ext uri="{FF2B5EF4-FFF2-40B4-BE49-F238E27FC236}">
              <a16:creationId xmlns:a16="http://schemas.microsoft.com/office/drawing/2014/main" id="{5FBF874E-445C-61FC-FD4E-935A1EB0F1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414615</xdr:colOff>
      <xdr:row>92</xdr:row>
      <xdr:rowOff>35112</xdr:rowOff>
    </xdr:from>
    <xdr:to>
      <xdr:col>18</xdr:col>
      <xdr:colOff>505851</xdr:colOff>
      <xdr:row>111</xdr:row>
      <xdr:rowOff>15612</xdr:rowOff>
    </xdr:to>
    <xdr:graphicFrame macro="">
      <xdr:nvGraphicFramePr>
        <xdr:cNvPr id="404" name="Chart 16">
          <a:extLst>
            <a:ext uri="{FF2B5EF4-FFF2-40B4-BE49-F238E27FC236}">
              <a16:creationId xmlns:a16="http://schemas.microsoft.com/office/drawing/2014/main" id="{BBF71EC3-8EE9-F857-44CB-3228A6B29D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18</xdr:col>
      <xdr:colOff>603437</xdr:colOff>
      <xdr:row>92</xdr:row>
      <xdr:rowOff>36793</xdr:rowOff>
    </xdr:from>
    <xdr:to>
      <xdr:col>29</xdr:col>
      <xdr:colOff>67143</xdr:colOff>
      <xdr:row>111</xdr:row>
      <xdr:rowOff>17293</xdr:rowOff>
    </xdr:to>
    <xdr:graphicFrame macro="">
      <xdr:nvGraphicFramePr>
        <xdr:cNvPr id="405" name="Chart 17">
          <a:extLst>
            <a:ext uri="{FF2B5EF4-FFF2-40B4-BE49-F238E27FC236}">
              <a16:creationId xmlns:a16="http://schemas.microsoft.com/office/drawing/2014/main" id="{D590A78A-5B18-5E7A-C20B-07A45ED38B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10795</xdr:rowOff>
    </xdr:from>
    <xdr:to>
      <xdr:col>8</xdr:col>
      <xdr:colOff>939800</xdr:colOff>
      <xdr:row>23</xdr:row>
      <xdr:rowOff>175895</xdr:rowOff>
    </xdr:to>
    <xdr:graphicFrame macro="">
      <xdr:nvGraphicFramePr>
        <xdr:cNvPr id="102" name="Diagram 3">
          <a:extLst>
            <a:ext uri="{FF2B5EF4-FFF2-40B4-BE49-F238E27FC236}">
              <a16:creationId xmlns:a16="http://schemas.microsoft.com/office/drawing/2014/main" id="{64FA3949-FDEF-CB09-DF60-689C76E75C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1003300</xdr:colOff>
      <xdr:row>10</xdr:row>
      <xdr:rowOff>10795</xdr:rowOff>
    </xdr:from>
    <xdr:to>
      <xdr:col>17</xdr:col>
      <xdr:colOff>561975</xdr:colOff>
      <xdr:row>23</xdr:row>
      <xdr:rowOff>175895</xdr:rowOff>
    </xdr:to>
    <xdr:graphicFrame macro="">
      <xdr:nvGraphicFramePr>
        <xdr:cNvPr id="103" name="Diagram 3">
          <a:extLst>
            <a:ext uri="{FF2B5EF4-FFF2-40B4-BE49-F238E27FC236}">
              <a16:creationId xmlns:a16="http://schemas.microsoft.com/office/drawing/2014/main" id="{D85379D9-016C-4929-816E-FA06478D5858}"/>
            </a:ext>
            <a:ext uri="{147F2762-F138-4A5C-976F-8EAC2B608ADB}">
              <a16:predDERef xmlns:a16="http://schemas.microsoft.com/office/drawing/2014/main" pred="{64FA3949-FDEF-CB09-DF60-689C76E75C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625475</xdr:colOff>
      <xdr:row>10</xdr:row>
      <xdr:rowOff>10795</xdr:rowOff>
    </xdr:from>
    <xdr:to>
      <xdr:col>25</xdr:col>
      <xdr:colOff>450850</xdr:colOff>
      <xdr:row>23</xdr:row>
      <xdr:rowOff>175895</xdr:rowOff>
    </xdr:to>
    <xdr:graphicFrame macro="">
      <xdr:nvGraphicFramePr>
        <xdr:cNvPr id="104" name="Diagram 3">
          <a:extLst>
            <a:ext uri="{FF2B5EF4-FFF2-40B4-BE49-F238E27FC236}">
              <a16:creationId xmlns:a16="http://schemas.microsoft.com/office/drawing/2014/main" id="{5227E76F-6DB6-486C-9959-7E8B3F870D30}"/>
            </a:ext>
            <a:ext uri="{147F2762-F138-4A5C-976F-8EAC2B608ADB}">
              <a16:predDERef xmlns:a16="http://schemas.microsoft.com/office/drawing/2014/main" pred="{D85379D9-016C-4929-816E-FA06478D58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514350</xdr:colOff>
      <xdr:row>10</xdr:row>
      <xdr:rowOff>10795</xdr:rowOff>
    </xdr:from>
    <xdr:to>
      <xdr:col>33</xdr:col>
      <xdr:colOff>301625</xdr:colOff>
      <xdr:row>23</xdr:row>
      <xdr:rowOff>175895</xdr:rowOff>
    </xdr:to>
    <xdr:graphicFrame macro="">
      <xdr:nvGraphicFramePr>
        <xdr:cNvPr id="105" name="Diagram 3">
          <a:extLst>
            <a:ext uri="{FF2B5EF4-FFF2-40B4-BE49-F238E27FC236}">
              <a16:creationId xmlns:a16="http://schemas.microsoft.com/office/drawing/2014/main" id="{3FFF1777-70DD-471F-A445-9771D60DFE39}"/>
            </a:ext>
            <a:ext uri="{147F2762-F138-4A5C-976F-8EAC2B608ADB}">
              <a16:predDERef xmlns:a16="http://schemas.microsoft.com/office/drawing/2014/main" pred="{D85379D9-016C-4929-816E-FA06478D58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34</xdr:row>
      <xdr:rowOff>0</xdr:rowOff>
    </xdr:from>
    <xdr:to>
      <xdr:col>8</xdr:col>
      <xdr:colOff>939800</xdr:colOff>
      <xdr:row>48</xdr:row>
      <xdr:rowOff>88900</xdr:rowOff>
    </xdr:to>
    <xdr:graphicFrame macro="">
      <xdr:nvGraphicFramePr>
        <xdr:cNvPr id="106" name="Diagram 3">
          <a:extLst>
            <a:ext uri="{FF2B5EF4-FFF2-40B4-BE49-F238E27FC236}">
              <a16:creationId xmlns:a16="http://schemas.microsoft.com/office/drawing/2014/main" id="{AE56C69F-837F-44C7-8651-D098AC5CDA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1003300</xdr:colOff>
      <xdr:row>34</xdr:row>
      <xdr:rowOff>0</xdr:rowOff>
    </xdr:from>
    <xdr:to>
      <xdr:col>17</xdr:col>
      <xdr:colOff>561975</xdr:colOff>
      <xdr:row>48</xdr:row>
      <xdr:rowOff>88900</xdr:rowOff>
    </xdr:to>
    <xdr:graphicFrame macro="">
      <xdr:nvGraphicFramePr>
        <xdr:cNvPr id="107" name="Diagram 3">
          <a:extLst>
            <a:ext uri="{FF2B5EF4-FFF2-40B4-BE49-F238E27FC236}">
              <a16:creationId xmlns:a16="http://schemas.microsoft.com/office/drawing/2014/main" id="{AA580D4E-77BA-49B9-985B-6B82D1C7D9B7}"/>
            </a:ext>
            <a:ext uri="{147F2762-F138-4A5C-976F-8EAC2B608ADB}">
              <a16:predDERef xmlns:a16="http://schemas.microsoft.com/office/drawing/2014/main" pred="{64FA3949-FDEF-CB09-DF60-689C76E75C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625475</xdr:colOff>
      <xdr:row>34</xdr:row>
      <xdr:rowOff>0</xdr:rowOff>
    </xdr:from>
    <xdr:to>
      <xdr:col>25</xdr:col>
      <xdr:colOff>450850</xdr:colOff>
      <xdr:row>48</xdr:row>
      <xdr:rowOff>88900</xdr:rowOff>
    </xdr:to>
    <xdr:graphicFrame macro="">
      <xdr:nvGraphicFramePr>
        <xdr:cNvPr id="108" name="Diagram 3">
          <a:extLst>
            <a:ext uri="{FF2B5EF4-FFF2-40B4-BE49-F238E27FC236}">
              <a16:creationId xmlns:a16="http://schemas.microsoft.com/office/drawing/2014/main" id="{A495329E-247B-4D8C-B7FF-006A6C4DBCDF}"/>
            </a:ext>
            <a:ext uri="{147F2762-F138-4A5C-976F-8EAC2B608ADB}">
              <a16:predDERef xmlns:a16="http://schemas.microsoft.com/office/drawing/2014/main" pred="{D85379D9-016C-4929-816E-FA06478D58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25</xdr:col>
      <xdr:colOff>514350</xdr:colOff>
      <xdr:row>34</xdr:row>
      <xdr:rowOff>0</xdr:rowOff>
    </xdr:from>
    <xdr:to>
      <xdr:col>33</xdr:col>
      <xdr:colOff>301625</xdr:colOff>
      <xdr:row>48</xdr:row>
      <xdr:rowOff>88900</xdr:rowOff>
    </xdr:to>
    <xdr:graphicFrame macro="">
      <xdr:nvGraphicFramePr>
        <xdr:cNvPr id="109" name="Diagram 3">
          <a:extLst>
            <a:ext uri="{FF2B5EF4-FFF2-40B4-BE49-F238E27FC236}">
              <a16:creationId xmlns:a16="http://schemas.microsoft.com/office/drawing/2014/main" id="{FA774D01-09C8-45B2-9DD7-605B7E0FDBD6}"/>
            </a:ext>
            <a:ext uri="{147F2762-F138-4A5C-976F-8EAC2B608ADB}">
              <a16:predDERef xmlns:a16="http://schemas.microsoft.com/office/drawing/2014/main" pred="{D85379D9-016C-4929-816E-FA06478D58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0</xdr:colOff>
      <xdr:row>58</xdr:row>
      <xdr:rowOff>0</xdr:rowOff>
    </xdr:from>
    <xdr:to>
      <xdr:col>8</xdr:col>
      <xdr:colOff>939800</xdr:colOff>
      <xdr:row>72</xdr:row>
      <xdr:rowOff>88900</xdr:rowOff>
    </xdr:to>
    <xdr:graphicFrame macro="">
      <xdr:nvGraphicFramePr>
        <xdr:cNvPr id="110" name="Diagram 3">
          <a:extLst>
            <a:ext uri="{FF2B5EF4-FFF2-40B4-BE49-F238E27FC236}">
              <a16:creationId xmlns:a16="http://schemas.microsoft.com/office/drawing/2014/main" id="{954B72EB-73FC-48B9-AA2B-4EFC234EA7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1003300</xdr:colOff>
      <xdr:row>58</xdr:row>
      <xdr:rowOff>0</xdr:rowOff>
    </xdr:from>
    <xdr:to>
      <xdr:col>17</xdr:col>
      <xdr:colOff>561975</xdr:colOff>
      <xdr:row>72</xdr:row>
      <xdr:rowOff>88900</xdr:rowOff>
    </xdr:to>
    <xdr:graphicFrame macro="">
      <xdr:nvGraphicFramePr>
        <xdr:cNvPr id="111" name="Diagram 3">
          <a:extLst>
            <a:ext uri="{FF2B5EF4-FFF2-40B4-BE49-F238E27FC236}">
              <a16:creationId xmlns:a16="http://schemas.microsoft.com/office/drawing/2014/main" id="{6D553F83-39C4-4839-8744-93510A0689F3}"/>
            </a:ext>
            <a:ext uri="{147F2762-F138-4A5C-976F-8EAC2B608ADB}">
              <a16:predDERef xmlns:a16="http://schemas.microsoft.com/office/drawing/2014/main" pred="{64FA3949-FDEF-CB09-DF60-689C76E75C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17</xdr:col>
      <xdr:colOff>625475</xdr:colOff>
      <xdr:row>58</xdr:row>
      <xdr:rowOff>0</xdr:rowOff>
    </xdr:from>
    <xdr:to>
      <xdr:col>25</xdr:col>
      <xdr:colOff>450850</xdr:colOff>
      <xdr:row>72</xdr:row>
      <xdr:rowOff>88900</xdr:rowOff>
    </xdr:to>
    <xdr:graphicFrame macro="">
      <xdr:nvGraphicFramePr>
        <xdr:cNvPr id="112" name="Diagram 3">
          <a:extLst>
            <a:ext uri="{FF2B5EF4-FFF2-40B4-BE49-F238E27FC236}">
              <a16:creationId xmlns:a16="http://schemas.microsoft.com/office/drawing/2014/main" id="{A46D5814-3D63-4C59-AE88-94D7B6B2F70A}"/>
            </a:ext>
            <a:ext uri="{147F2762-F138-4A5C-976F-8EAC2B608ADB}">
              <a16:predDERef xmlns:a16="http://schemas.microsoft.com/office/drawing/2014/main" pred="{D85379D9-016C-4929-816E-FA06478D58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25</xdr:col>
      <xdr:colOff>514350</xdr:colOff>
      <xdr:row>58</xdr:row>
      <xdr:rowOff>0</xdr:rowOff>
    </xdr:from>
    <xdr:to>
      <xdr:col>33</xdr:col>
      <xdr:colOff>301625</xdr:colOff>
      <xdr:row>72</xdr:row>
      <xdr:rowOff>88900</xdr:rowOff>
    </xdr:to>
    <xdr:graphicFrame macro="">
      <xdr:nvGraphicFramePr>
        <xdr:cNvPr id="113" name="Diagram 3">
          <a:extLst>
            <a:ext uri="{FF2B5EF4-FFF2-40B4-BE49-F238E27FC236}">
              <a16:creationId xmlns:a16="http://schemas.microsoft.com/office/drawing/2014/main" id="{205C2FC7-9DF4-4981-A3A9-DA0CCAD29370}"/>
            </a:ext>
            <a:ext uri="{147F2762-F138-4A5C-976F-8EAC2B608ADB}">
              <a16:predDERef xmlns:a16="http://schemas.microsoft.com/office/drawing/2014/main" pred="{D85379D9-016C-4929-816E-FA06478D58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17</xdr:col>
      <xdr:colOff>625475</xdr:colOff>
      <xdr:row>73</xdr:row>
      <xdr:rowOff>38100</xdr:rowOff>
    </xdr:from>
    <xdr:to>
      <xdr:col>25</xdr:col>
      <xdr:colOff>450850</xdr:colOff>
      <xdr:row>89</xdr:row>
      <xdr:rowOff>25400</xdr:rowOff>
    </xdr:to>
    <xdr:graphicFrame macro="">
      <xdr:nvGraphicFramePr>
        <xdr:cNvPr id="114" name="Diagram 3">
          <a:extLst>
            <a:ext uri="{FF2B5EF4-FFF2-40B4-BE49-F238E27FC236}">
              <a16:creationId xmlns:a16="http://schemas.microsoft.com/office/drawing/2014/main" id="{15C85399-F8B7-47B4-9DF2-F7F9590B0704}"/>
            </a:ext>
            <a:ext uri="{147F2762-F138-4A5C-976F-8EAC2B608ADB}">
              <a16:predDERef xmlns:a16="http://schemas.microsoft.com/office/drawing/2014/main" pred="{D85379D9-016C-4929-816E-FA06478D58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</xdr:col>
      <xdr:colOff>0</xdr:colOff>
      <xdr:row>73</xdr:row>
      <xdr:rowOff>38100</xdr:rowOff>
    </xdr:from>
    <xdr:to>
      <xdr:col>8</xdr:col>
      <xdr:colOff>939800</xdr:colOff>
      <xdr:row>89</xdr:row>
      <xdr:rowOff>25400</xdr:rowOff>
    </xdr:to>
    <xdr:graphicFrame macro="">
      <xdr:nvGraphicFramePr>
        <xdr:cNvPr id="115" name="Chart 1">
          <a:extLst>
            <a:ext uri="{FF2B5EF4-FFF2-40B4-BE49-F238E27FC236}">
              <a16:creationId xmlns:a16="http://schemas.microsoft.com/office/drawing/2014/main" id="{40A0FB93-1A26-9F79-2F17-36C0283712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8</xdr:col>
      <xdr:colOff>1003300</xdr:colOff>
      <xdr:row>73</xdr:row>
      <xdr:rowOff>38100</xdr:rowOff>
    </xdr:from>
    <xdr:to>
      <xdr:col>17</xdr:col>
      <xdr:colOff>561975</xdr:colOff>
      <xdr:row>89</xdr:row>
      <xdr:rowOff>25400</xdr:rowOff>
    </xdr:to>
    <xdr:graphicFrame macro="">
      <xdr:nvGraphicFramePr>
        <xdr:cNvPr id="116" name="Chart 2">
          <a:extLst>
            <a:ext uri="{FF2B5EF4-FFF2-40B4-BE49-F238E27FC236}">
              <a16:creationId xmlns:a16="http://schemas.microsoft.com/office/drawing/2014/main" id="{2A39249A-56CB-C288-EBC9-324CD412EA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25</xdr:col>
      <xdr:colOff>514350</xdr:colOff>
      <xdr:row>73</xdr:row>
      <xdr:rowOff>38100</xdr:rowOff>
    </xdr:from>
    <xdr:to>
      <xdr:col>33</xdr:col>
      <xdr:colOff>301625</xdr:colOff>
      <xdr:row>89</xdr:row>
      <xdr:rowOff>25400</xdr:rowOff>
    </xdr:to>
    <xdr:graphicFrame macro="">
      <xdr:nvGraphicFramePr>
        <xdr:cNvPr id="117" name="Chart 3">
          <a:extLst>
            <a:ext uri="{FF2B5EF4-FFF2-40B4-BE49-F238E27FC236}">
              <a16:creationId xmlns:a16="http://schemas.microsoft.com/office/drawing/2014/main" id="{0C0A0654-3486-30C1-47DB-454BFDF21E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123825</xdr:rowOff>
    </xdr:from>
    <xdr:to>
      <xdr:col>7</xdr:col>
      <xdr:colOff>987425</xdr:colOff>
      <xdr:row>23</xdr:row>
      <xdr:rowOff>22225</xdr:rowOff>
    </xdr:to>
    <xdr:graphicFrame macro="">
      <xdr:nvGraphicFramePr>
        <xdr:cNvPr id="86" name="Diagram 3">
          <a:extLst>
            <a:ext uri="{FF2B5EF4-FFF2-40B4-BE49-F238E27FC236}">
              <a16:creationId xmlns:a16="http://schemas.microsoft.com/office/drawing/2014/main" id="{66A60553-E23B-4E90-A0D5-00DA8E23F0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41275</xdr:colOff>
      <xdr:row>8</xdr:row>
      <xdr:rowOff>123825</xdr:rowOff>
    </xdr:from>
    <xdr:to>
      <xdr:col>16</xdr:col>
      <xdr:colOff>723900</xdr:colOff>
      <xdr:row>23</xdr:row>
      <xdr:rowOff>22225</xdr:rowOff>
    </xdr:to>
    <xdr:graphicFrame macro="">
      <xdr:nvGraphicFramePr>
        <xdr:cNvPr id="87" name="Diagram 3">
          <a:extLst>
            <a:ext uri="{FF2B5EF4-FFF2-40B4-BE49-F238E27FC236}">
              <a16:creationId xmlns:a16="http://schemas.microsoft.com/office/drawing/2014/main" id="{4315E25F-7523-41C1-9390-119899061D41}"/>
            </a:ext>
            <a:ext uri="{147F2762-F138-4A5C-976F-8EAC2B608ADB}">
              <a16:predDERef xmlns:a16="http://schemas.microsoft.com/office/drawing/2014/main" pred="{64FA3949-FDEF-CB09-DF60-689C76E75C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787400</xdr:colOff>
      <xdr:row>8</xdr:row>
      <xdr:rowOff>123825</xdr:rowOff>
    </xdr:from>
    <xdr:to>
      <xdr:col>25</xdr:col>
      <xdr:colOff>212725</xdr:colOff>
      <xdr:row>23</xdr:row>
      <xdr:rowOff>22225</xdr:rowOff>
    </xdr:to>
    <xdr:graphicFrame macro="">
      <xdr:nvGraphicFramePr>
        <xdr:cNvPr id="88" name="Diagram 3">
          <a:extLst>
            <a:ext uri="{FF2B5EF4-FFF2-40B4-BE49-F238E27FC236}">
              <a16:creationId xmlns:a16="http://schemas.microsoft.com/office/drawing/2014/main" id="{4887823E-6A2D-4584-B51C-E7425B771796}"/>
            </a:ext>
            <a:ext uri="{147F2762-F138-4A5C-976F-8EAC2B608ADB}">
              <a16:predDERef xmlns:a16="http://schemas.microsoft.com/office/drawing/2014/main" pred="{D85379D9-016C-4929-816E-FA06478D58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276225</xdr:colOff>
      <xdr:row>8</xdr:row>
      <xdr:rowOff>123825</xdr:rowOff>
    </xdr:from>
    <xdr:to>
      <xdr:col>33</xdr:col>
      <xdr:colOff>25400</xdr:colOff>
      <xdr:row>23</xdr:row>
      <xdr:rowOff>22225</xdr:rowOff>
    </xdr:to>
    <xdr:graphicFrame macro="">
      <xdr:nvGraphicFramePr>
        <xdr:cNvPr id="89" name="Diagram 3">
          <a:extLst>
            <a:ext uri="{FF2B5EF4-FFF2-40B4-BE49-F238E27FC236}">
              <a16:creationId xmlns:a16="http://schemas.microsoft.com/office/drawing/2014/main" id="{D2C04B68-921B-4096-9828-356B68CA8893}"/>
            </a:ext>
            <a:ext uri="{147F2762-F138-4A5C-976F-8EAC2B608ADB}">
              <a16:predDERef xmlns:a16="http://schemas.microsoft.com/office/drawing/2014/main" pred="{D85379D9-016C-4929-816E-FA06478D58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32</xdr:row>
      <xdr:rowOff>66675</xdr:rowOff>
    </xdr:from>
    <xdr:to>
      <xdr:col>7</xdr:col>
      <xdr:colOff>987425</xdr:colOff>
      <xdr:row>46</xdr:row>
      <xdr:rowOff>155575</xdr:rowOff>
    </xdr:to>
    <xdr:graphicFrame macro="">
      <xdr:nvGraphicFramePr>
        <xdr:cNvPr id="90" name="Diagram 3">
          <a:extLst>
            <a:ext uri="{FF2B5EF4-FFF2-40B4-BE49-F238E27FC236}">
              <a16:creationId xmlns:a16="http://schemas.microsoft.com/office/drawing/2014/main" id="{DD55873A-C38B-48E0-9FE2-238E93A859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41275</xdr:colOff>
      <xdr:row>32</xdr:row>
      <xdr:rowOff>66675</xdr:rowOff>
    </xdr:from>
    <xdr:to>
      <xdr:col>16</xdr:col>
      <xdr:colOff>723900</xdr:colOff>
      <xdr:row>46</xdr:row>
      <xdr:rowOff>155575</xdr:rowOff>
    </xdr:to>
    <xdr:graphicFrame macro="">
      <xdr:nvGraphicFramePr>
        <xdr:cNvPr id="91" name="Diagram 3">
          <a:extLst>
            <a:ext uri="{FF2B5EF4-FFF2-40B4-BE49-F238E27FC236}">
              <a16:creationId xmlns:a16="http://schemas.microsoft.com/office/drawing/2014/main" id="{B6435FE9-6C54-4952-B2C9-1E53AAE26354}"/>
            </a:ext>
            <a:ext uri="{147F2762-F138-4A5C-976F-8EAC2B608ADB}">
              <a16:predDERef xmlns:a16="http://schemas.microsoft.com/office/drawing/2014/main" pred="{64FA3949-FDEF-CB09-DF60-689C76E75C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787400</xdr:colOff>
      <xdr:row>32</xdr:row>
      <xdr:rowOff>66675</xdr:rowOff>
    </xdr:from>
    <xdr:to>
      <xdr:col>25</xdr:col>
      <xdr:colOff>212725</xdr:colOff>
      <xdr:row>46</xdr:row>
      <xdr:rowOff>155575</xdr:rowOff>
    </xdr:to>
    <xdr:graphicFrame macro="">
      <xdr:nvGraphicFramePr>
        <xdr:cNvPr id="92" name="Diagram 3">
          <a:extLst>
            <a:ext uri="{FF2B5EF4-FFF2-40B4-BE49-F238E27FC236}">
              <a16:creationId xmlns:a16="http://schemas.microsoft.com/office/drawing/2014/main" id="{E7A6B29A-A8AA-4927-B3FE-E15A2A39B3F0}"/>
            </a:ext>
            <a:ext uri="{147F2762-F138-4A5C-976F-8EAC2B608ADB}">
              <a16:predDERef xmlns:a16="http://schemas.microsoft.com/office/drawing/2014/main" pred="{D85379D9-016C-4929-816E-FA06478D58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25</xdr:col>
      <xdr:colOff>276225</xdr:colOff>
      <xdr:row>32</xdr:row>
      <xdr:rowOff>66675</xdr:rowOff>
    </xdr:from>
    <xdr:to>
      <xdr:col>33</xdr:col>
      <xdr:colOff>25400</xdr:colOff>
      <xdr:row>46</xdr:row>
      <xdr:rowOff>155575</xdr:rowOff>
    </xdr:to>
    <xdr:graphicFrame macro="">
      <xdr:nvGraphicFramePr>
        <xdr:cNvPr id="93" name="Diagram 3">
          <a:extLst>
            <a:ext uri="{FF2B5EF4-FFF2-40B4-BE49-F238E27FC236}">
              <a16:creationId xmlns:a16="http://schemas.microsoft.com/office/drawing/2014/main" id="{46715769-FE8D-4A61-8EAF-BAACB44B6FBE}"/>
            </a:ext>
            <a:ext uri="{147F2762-F138-4A5C-976F-8EAC2B608ADB}">
              <a16:predDERef xmlns:a16="http://schemas.microsoft.com/office/drawing/2014/main" pred="{D85379D9-016C-4929-816E-FA06478D58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56</xdr:row>
      <xdr:rowOff>9525</xdr:rowOff>
    </xdr:from>
    <xdr:to>
      <xdr:col>7</xdr:col>
      <xdr:colOff>987425</xdr:colOff>
      <xdr:row>70</xdr:row>
      <xdr:rowOff>98425</xdr:rowOff>
    </xdr:to>
    <xdr:graphicFrame macro="">
      <xdr:nvGraphicFramePr>
        <xdr:cNvPr id="94" name="Diagram 3">
          <a:extLst>
            <a:ext uri="{FF2B5EF4-FFF2-40B4-BE49-F238E27FC236}">
              <a16:creationId xmlns:a16="http://schemas.microsoft.com/office/drawing/2014/main" id="{B9211AC4-30D7-4180-B990-12137BB840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41275</xdr:colOff>
      <xdr:row>56</xdr:row>
      <xdr:rowOff>9525</xdr:rowOff>
    </xdr:from>
    <xdr:to>
      <xdr:col>16</xdr:col>
      <xdr:colOff>723900</xdr:colOff>
      <xdr:row>70</xdr:row>
      <xdr:rowOff>98425</xdr:rowOff>
    </xdr:to>
    <xdr:graphicFrame macro="">
      <xdr:nvGraphicFramePr>
        <xdr:cNvPr id="95" name="Diagram 3">
          <a:extLst>
            <a:ext uri="{FF2B5EF4-FFF2-40B4-BE49-F238E27FC236}">
              <a16:creationId xmlns:a16="http://schemas.microsoft.com/office/drawing/2014/main" id="{DE1E3C63-621E-41BE-8BB1-7C1D853463B5}"/>
            </a:ext>
            <a:ext uri="{147F2762-F138-4A5C-976F-8EAC2B608ADB}">
              <a16:predDERef xmlns:a16="http://schemas.microsoft.com/office/drawing/2014/main" pred="{64FA3949-FDEF-CB09-DF60-689C76E75C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787400</xdr:colOff>
      <xdr:row>56</xdr:row>
      <xdr:rowOff>9525</xdr:rowOff>
    </xdr:from>
    <xdr:to>
      <xdr:col>25</xdr:col>
      <xdr:colOff>212725</xdr:colOff>
      <xdr:row>70</xdr:row>
      <xdr:rowOff>98425</xdr:rowOff>
    </xdr:to>
    <xdr:graphicFrame macro="">
      <xdr:nvGraphicFramePr>
        <xdr:cNvPr id="96" name="Diagram 3">
          <a:extLst>
            <a:ext uri="{FF2B5EF4-FFF2-40B4-BE49-F238E27FC236}">
              <a16:creationId xmlns:a16="http://schemas.microsoft.com/office/drawing/2014/main" id="{E2139F1A-11E0-482D-883D-B70CDF1E3233}"/>
            </a:ext>
            <a:ext uri="{147F2762-F138-4A5C-976F-8EAC2B608ADB}">
              <a16:predDERef xmlns:a16="http://schemas.microsoft.com/office/drawing/2014/main" pred="{D85379D9-016C-4929-816E-FA06478D58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25</xdr:col>
      <xdr:colOff>276225</xdr:colOff>
      <xdr:row>56</xdr:row>
      <xdr:rowOff>9525</xdr:rowOff>
    </xdr:from>
    <xdr:to>
      <xdr:col>33</xdr:col>
      <xdr:colOff>25400</xdr:colOff>
      <xdr:row>70</xdr:row>
      <xdr:rowOff>98425</xdr:rowOff>
    </xdr:to>
    <xdr:graphicFrame macro="">
      <xdr:nvGraphicFramePr>
        <xdr:cNvPr id="97" name="Diagram 3">
          <a:extLst>
            <a:ext uri="{FF2B5EF4-FFF2-40B4-BE49-F238E27FC236}">
              <a16:creationId xmlns:a16="http://schemas.microsoft.com/office/drawing/2014/main" id="{A2DEA1AE-F912-4F4B-BAAF-065ADD7803F5}"/>
            </a:ext>
            <a:ext uri="{147F2762-F138-4A5C-976F-8EAC2B608ADB}">
              <a16:predDERef xmlns:a16="http://schemas.microsoft.com/office/drawing/2014/main" pred="{D85379D9-016C-4929-816E-FA06478D58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16</xdr:col>
      <xdr:colOff>787400</xdr:colOff>
      <xdr:row>71</xdr:row>
      <xdr:rowOff>123825</xdr:rowOff>
    </xdr:from>
    <xdr:to>
      <xdr:col>25</xdr:col>
      <xdr:colOff>212725</xdr:colOff>
      <xdr:row>87</xdr:row>
      <xdr:rowOff>111125</xdr:rowOff>
    </xdr:to>
    <xdr:graphicFrame macro="">
      <xdr:nvGraphicFramePr>
        <xdr:cNvPr id="98" name="Diagram 3">
          <a:extLst>
            <a:ext uri="{FF2B5EF4-FFF2-40B4-BE49-F238E27FC236}">
              <a16:creationId xmlns:a16="http://schemas.microsoft.com/office/drawing/2014/main" id="{8F2F97FA-E80B-4309-8239-4E8AF1233094}"/>
            </a:ext>
            <a:ext uri="{147F2762-F138-4A5C-976F-8EAC2B608ADB}">
              <a16:predDERef xmlns:a16="http://schemas.microsoft.com/office/drawing/2014/main" pred="{D85379D9-016C-4929-816E-FA06478D58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0</xdr:colOff>
      <xdr:row>71</xdr:row>
      <xdr:rowOff>123825</xdr:rowOff>
    </xdr:from>
    <xdr:to>
      <xdr:col>7</xdr:col>
      <xdr:colOff>987425</xdr:colOff>
      <xdr:row>87</xdr:row>
      <xdr:rowOff>111125</xdr:rowOff>
    </xdr:to>
    <xdr:graphicFrame macro="">
      <xdr:nvGraphicFramePr>
        <xdr:cNvPr id="99" name="Chart 1">
          <a:extLst>
            <a:ext uri="{FF2B5EF4-FFF2-40B4-BE49-F238E27FC236}">
              <a16:creationId xmlns:a16="http://schemas.microsoft.com/office/drawing/2014/main" id="{3C8ACFA4-24D3-1616-6153-7FD83A9CDF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8</xdr:col>
      <xdr:colOff>41275</xdr:colOff>
      <xdr:row>71</xdr:row>
      <xdr:rowOff>123825</xdr:rowOff>
    </xdr:from>
    <xdr:to>
      <xdr:col>16</xdr:col>
      <xdr:colOff>723900</xdr:colOff>
      <xdr:row>87</xdr:row>
      <xdr:rowOff>111125</xdr:rowOff>
    </xdr:to>
    <xdr:graphicFrame macro="">
      <xdr:nvGraphicFramePr>
        <xdr:cNvPr id="100" name="Chart 2">
          <a:extLst>
            <a:ext uri="{FF2B5EF4-FFF2-40B4-BE49-F238E27FC236}">
              <a16:creationId xmlns:a16="http://schemas.microsoft.com/office/drawing/2014/main" id="{7A6A8C8C-BE4D-1377-36F9-C9FD117303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25</xdr:col>
      <xdr:colOff>276225</xdr:colOff>
      <xdr:row>71</xdr:row>
      <xdr:rowOff>123825</xdr:rowOff>
    </xdr:from>
    <xdr:to>
      <xdr:col>33</xdr:col>
      <xdr:colOff>25400</xdr:colOff>
      <xdr:row>87</xdr:row>
      <xdr:rowOff>111125</xdr:rowOff>
    </xdr:to>
    <xdr:graphicFrame macro="">
      <xdr:nvGraphicFramePr>
        <xdr:cNvPr id="101" name="Chart 3">
          <a:extLst>
            <a:ext uri="{FF2B5EF4-FFF2-40B4-BE49-F238E27FC236}">
              <a16:creationId xmlns:a16="http://schemas.microsoft.com/office/drawing/2014/main" id="{118FC041-7614-6BC0-1877-DB797B93D0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143510</xdr:rowOff>
    </xdr:from>
    <xdr:to>
      <xdr:col>7</xdr:col>
      <xdr:colOff>930275</xdr:colOff>
      <xdr:row>23</xdr:row>
      <xdr:rowOff>41910</xdr:rowOff>
    </xdr:to>
    <xdr:graphicFrame macro="">
      <xdr:nvGraphicFramePr>
        <xdr:cNvPr id="148" name="Diagram 3">
          <a:extLst>
            <a:ext uri="{FF2B5EF4-FFF2-40B4-BE49-F238E27FC236}">
              <a16:creationId xmlns:a16="http://schemas.microsoft.com/office/drawing/2014/main" id="{19457CA2-085D-4C78-88E0-D0A5C29BB9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993775</xdr:colOff>
      <xdr:row>8</xdr:row>
      <xdr:rowOff>143510</xdr:rowOff>
    </xdr:from>
    <xdr:to>
      <xdr:col>16</xdr:col>
      <xdr:colOff>733425</xdr:colOff>
      <xdr:row>23</xdr:row>
      <xdr:rowOff>41910</xdr:rowOff>
    </xdr:to>
    <xdr:graphicFrame macro="">
      <xdr:nvGraphicFramePr>
        <xdr:cNvPr id="149" name="Diagram 3">
          <a:extLst>
            <a:ext uri="{FF2B5EF4-FFF2-40B4-BE49-F238E27FC236}">
              <a16:creationId xmlns:a16="http://schemas.microsoft.com/office/drawing/2014/main" id="{A982B73A-0AF0-4BE5-A417-175080116312}"/>
            </a:ext>
            <a:ext uri="{147F2762-F138-4A5C-976F-8EAC2B608ADB}">
              <a16:predDERef xmlns:a16="http://schemas.microsoft.com/office/drawing/2014/main" pred="{64FA3949-FDEF-CB09-DF60-689C76E75C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796925</xdr:colOff>
      <xdr:row>8</xdr:row>
      <xdr:rowOff>143510</xdr:rowOff>
    </xdr:from>
    <xdr:to>
      <xdr:col>25</xdr:col>
      <xdr:colOff>260350</xdr:colOff>
      <xdr:row>23</xdr:row>
      <xdr:rowOff>41910</xdr:rowOff>
    </xdr:to>
    <xdr:graphicFrame macro="">
      <xdr:nvGraphicFramePr>
        <xdr:cNvPr id="150" name="Diagram 3">
          <a:extLst>
            <a:ext uri="{FF2B5EF4-FFF2-40B4-BE49-F238E27FC236}">
              <a16:creationId xmlns:a16="http://schemas.microsoft.com/office/drawing/2014/main" id="{92A8758A-2F88-4FE6-8898-B909B0901BBC}"/>
            </a:ext>
            <a:ext uri="{147F2762-F138-4A5C-976F-8EAC2B608ADB}">
              <a16:predDERef xmlns:a16="http://schemas.microsoft.com/office/drawing/2014/main" pred="{D85379D9-016C-4929-816E-FA06478D58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323850</xdr:colOff>
      <xdr:row>8</xdr:row>
      <xdr:rowOff>143510</xdr:rowOff>
    </xdr:from>
    <xdr:to>
      <xdr:col>32</xdr:col>
      <xdr:colOff>377825</xdr:colOff>
      <xdr:row>23</xdr:row>
      <xdr:rowOff>41910</xdr:rowOff>
    </xdr:to>
    <xdr:graphicFrame macro="">
      <xdr:nvGraphicFramePr>
        <xdr:cNvPr id="151" name="Diagram 3">
          <a:extLst>
            <a:ext uri="{FF2B5EF4-FFF2-40B4-BE49-F238E27FC236}">
              <a16:creationId xmlns:a16="http://schemas.microsoft.com/office/drawing/2014/main" id="{3709E1FD-9863-4624-BA38-E39150ECB620}"/>
            </a:ext>
            <a:ext uri="{147F2762-F138-4A5C-976F-8EAC2B608ADB}">
              <a16:predDERef xmlns:a16="http://schemas.microsoft.com/office/drawing/2014/main" pred="{D85379D9-016C-4929-816E-FA06478D58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32</xdr:row>
      <xdr:rowOff>95250</xdr:rowOff>
    </xdr:from>
    <xdr:to>
      <xdr:col>7</xdr:col>
      <xdr:colOff>930275</xdr:colOff>
      <xdr:row>46</xdr:row>
      <xdr:rowOff>184150</xdr:rowOff>
    </xdr:to>
    <xdr:graphicFrame macro="">
      <xdr:nvGraphicFramePr>
        <xdr:cNvPr id="152" name="Diagram 3">
          <a:extLst>
            <a:ext uri="{FF2B5EF4-FFF2-40B4-BE49-F238E27FC236}">
              <a16:creationId xmlns:a16="http://schemas.microsoft.com/office/drawing/2014/main" id="{9ECA1C03-0F5C-4786-8081-5705F26806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993775</xdr:colOff>
      <xdr:row>32</xdr:row>
      <xdr:rowOff>95250</xdr:rowOff>
    </xdr:from>
    <xdr:to>
      <xdr:col>16</xdr:col>
      <xdr:colOff>733425</xdr:colOff>
      <xdr:row>46</xdr:row>
      <xdr:rowOff>184150</xdr:rowOff>
    </xdr:to>
    <xdr:graphicFrame macro="">
      <xdr:nvGraphicFramePr>
        <xdr:cNvPr id="153" name="Diagram 3">
          <a:extLst>
            <a:ext uri="{FF2B5EF4-FFF2-40B4-BE49-F238E27FC236}">
              <a16:creationId xmlns:a16="http://schemas.microsoft.com/office/drawing/2014/main" id="{9EF92CA5-888D-49BA-BEFE-C67F5F55F959}"/>
            </a:ext>
            <a:ext uri="{147F2762-F138-4A5C-976F-8EAC2B608ADB}">
              <a16:predDERef xmlns:a16="http://schemas.microsoft.com/office/drawing/2014/main" pred="{64FA3949-FDEF-CB09-DF60-689C76E75C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796925</xdr:colOff>
      <xdr:row>32</xdr:row>
      <xdr:rowOff>95250</xdr:rowOff>
    </xdr:from>
    <xdr:to>
      <xdr:col>25</xdr:col>
      <xdr:colOff>260350</xdr:colOff>
      <xdr:row>46</xdr:row>
      <xdr:rowOff>184150</xdr:rowOff>
    </xdr:to>
    <xdr:graphicFrame macro="">
      <xdr:nvGraphicFramePr>
        <xdr:cNvPr id="154" name="Diagram 3">
          <a:extLst>
            <a:ext uri="{FF2B5EF4-FFF2-40B4-BE49-F238E27FC236}">
              <a16:creationId xmlns:a16="http://schemas.microsoft.com/office/drawing/2014/main" id="{EE9C679D-128A-4ACF-A11B-7018DD3187C9}"/>
            </a:ext>
            <a:ext uri="{147F2762-F138-4A5C-976F-8EAC2B608ADB}">
              <a16:predDERef xmlns:a16="http://schemas.microsoft.com/office/drawing/2014/main" pred="{D85379D9-016C-4929-816E-FA06478D58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56</xdr:row>
      <xdr:rowOff>48260</xdr:rowOff>
    </xdr:from>
    <xdr:to>
      <xdr:col>7</xdr:col>
      <xdr:colOff>930275</xdr:colOff>
      <xdr:row>70</xdr:row>
      <xdr:rowOff>137160</xdr:rowOff>
    </xdr:to>
    <xdr:graphicFrame macro="">
      <xdr:nvGraphicFramePr>
        <xdr:cNvPr id="155" name="Diagram 3">
          <a:extLst>
            <a:ext uri="{FF2B5EF4-FFF2-40B4-BE49-F238E27FC236}">
              <a16:creationId xmlns:a16="http://schemas.microsoft.com/office/drawing/2014/main" id="{247E41F1-1EA1-44B8-AC60-616FB2773F0F}"/>
            </a:ext>
            <a:ext uri="{147F2762-F138-4A5C-976F-8EAC2B608ADB}">
              <a16:predDERef xmlns:a16="http://schemas.microsoft.com/office/drawing/2014/main" pred="{68AF3FA1-669B-47B3-8287-C3B50E6FE2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993775</xdr:colOff>
      <xdr:row>56</xdr:row>
      <xdr:rowOff>48260</xdr:rowOff>
    </xdr:from>
    <xdr:to>
      <xdr:col>16</xdr:col>
      <xdr:colOff>733425</xdr:colOff>
      <xdr:row>70</xdr:row>
      <xdr:rowOff>137160</xdr:rowOff>
    </xdr:to>
    <xdr:graphicFrame macro="">
      <xdr:nvGraphicFramePr>
        <xdr:cNvPr id="156" name="Diagram 3">
          <a:extLst>
            <a:ext uri="{FF2B5EF4-FFF2-40B4-BE49-F238E27FC236}">
              <a16:creationId xmlns:a16="http://schemas.microsoft.com/office/drawing/2014/main" id="{CD553910-20C1-41D6-88A9-0875169ABCE4}"/>
            </a:ext>
            <a:ext uri="{147F2762-F138-4A5C-976F-8EAC2B608ADB}">
              <a16:predDERef xmlns:a16="http://schemas.microsoft.com/office/drawing/2014/main" pred="{64FA3949-FDEF-CB09-DF60-689C76E75C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16</xdr:col>
      <xdr:colOff>796925</xdr:colOff>
      <xdr:row>56</xdr:row>
      <xdr:rowOff>48260</xdr:rowOff>
    </xdr:from>
    <xdr:to>
      <xdr:col>25</xdr:col>
      <xdr:colOff>260350</xdr:colOff>
      <xdr:row>70</xdr:row>
      <xdr:rowOff>137160</xdr:rowOff>
    </xdr:to>
    <xdr:graphicFrame macro="">
      <xdr:nvGraphicFramePr>
        <xdr:cNvPr id="157" name="Diagram 3">
          <a:extLst>
            <a:ext uri="{FF2B5EF4-FFF2-40B4-BE49-F238E27FC236}">
              <a16:creationId xmlns:a16="http://schemas.microsoft.com/office/drawing/2014/main" id="{6239CB5E-F1B6-47AA-ADCC-F390326FD73F}"/>
            </a:ext>
            <a:ext uri="{147F2762-F138-4A5C-976F-8EAC2B608ADB}">
              <a16:predDERef xmlns:a16="http://schemas.microsoft.com/office/drawing/2014/main" pred="{D85379D9-016C-4929-816E-FA06478D58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796925</xdr:colOff>
      <xdr:row>72</xdr:row>
      <xdr:rowOff>16511</xdr:rowOff>
    </xdr:from>
    <xdr:to>
      <xdr:col>25</xdr:col>
      <xdr:colOff>260350</xdr:colOff>
      <xdr:row>88</xdr:row>
      <xdr:rowOff>3811</xdr:rowOff>
    </xdr:to>
    <xdr:graphicFrame macro="">
      <xdr:nvGraphicFramePr>
        <xdr:cNvPr id="158" name="Diagram 3">
          <a:extLst>
            <a:ext uri="{FF2B5EF4-FFF2-40B4-BE49-F238E27FC236}">
              <a16:creationId xmlns:a16="http://schemas.microsoft.com/office/drawing/2014/main" id="{C202A66B-A2F5-4AAD-B884-1A8C94F8746B}"/>
            </a:ext>
            <a:ext uri="{147F2762-F138-4A5C-976F-8EAC2B608ADB}">
              <a16:predDERef xmlns:a16="http://schemas.microsoft.com/office/drawing/2014/main" pred="{D85379D9-016C-4929-816E-FA06478D58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25</xdr:col>
      <xdr:colOff>323850</xdr:colOff>
      <xdr:row>32</xdr:row>
      <xdr:rowOff>95250</xdr:rowOff>
    </xdr:from>
    <xdr:to>
      <xdr:col>32</xdr:col>
      <xdr:colOff>377825</xdr:colOff>
      <xdr:row>46</xdr:row>
      <xdr:rowOff>184150</xdr:rowOff>
    </xdr:to>
    <xdr:graphicFrame macro="">
      <xdr:nvGraphicFramePr>
        <xdr:cNvPr id="165" name="Diagram 3">
          <a:extLst>
            <a:ext uri="{FF2B5EF4-FFF2-40B4-BE49-F238E27FC236}">
              <a16:creationId xmlns:a16="http://schemas.microsoft.com/office/drawing/2014/main" id="{8EF843D6-3901-4C63-8311-9794F05732A4}"/>
            </a:ext>
            <a:ext uri="{147F2762-F138-4A5C-976F-8EAC2B608ADB}">
              <a16:predDERef xmlns:a16="http://schemas.microsoft.com/office/drawing/2014/main" pred="{D85379D9-016C-4929-816E-FA06478D58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25</xdr:col>
      <xdr:colOff>323850</xdr:colOff>
      <xdr:row>56</xdr:row>
      <xdr:rowOff>48260</xdr:rowOff>
    </xdr:from>
    <xdr:to>
      <xdr:col>32</xdr:col>
      <xdr:colOff>377825</xdr:colOff>
      <xdr:row>70</xdr:row>
      <xdr:rowOff>137160</xdr:rowOff>
    </xdr:to>
    <xdr:graphicFrame macro="">
      <xdr:nvGraphicFramePr>
        <xdr:cNvPr id="164" name="Diagram 3">
          <a:extLst>
            <a:ext uri="{FF2B5EF4-FFF2-40B4-BE49-F238E27FC236}">
              <a16:creationId xmlns:a16="http://schemas.microsoft.com/office/drawing/2014/main" id="{32D0996B-4274-4DC8-8236-175DEBEF85F6}"/>
            </a:ext>
            <a:ext uri="{147F2762-F138-4A5C-976F-8EAC2B608ADB}">
              <a16:predDERef xmlns:a16="http://schemas.microsoft.com/office/drawing/2014/main" pred="{D85379D9-016C-4929-816E-FA06478D58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0</xdr:colOff>
      <xdr:row>72</xdr:row>
      <xdr:rowOff>16511</xdr:rowOff>
    </xdr:from>
    <xdr:to>
      <xdr:col>7</xdr:col>
      <xdr:colOff>930275</xdr:colOff>
      <xdr:row>88</xdr:row>
      <xdr:rowOff>3811</xdr:rowOff>
    </xdr:to>
    <xdr:graphicFrame macro="">
      <xdr:nvGraphicFramePr>
        <xdr:cNvPr id="173" name="Chart 1">
          <a:extLst>
            <a:ext uri="{FF2B5EF4-FFF2-40B4-BE49-F238E27FC236}">
              <a16:creationId xmlns:a16="http://schemas.microsoft.com/office/drawing/2014/main" id="{0DB8671D-2B2F-E76B-F6ED-7B143B4293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7</xdr:col>
      <xdr:colOff>993775</xdr:colOff>
      <xdr:row>72</xdr:row>
      <xdr:rowOff>16511</xdr:rowOff>
    </xdr:from>
    <xdr:to>
      <xdr:col>16</xdr:col>
      <xdr:colOff>733425</xdr:colOff>
      <xdr:row>88</xdr:row>
      <xdr:rowOff>3811</xdr:rowOff>
    </xdr:to>
    <xdr:graphicFrame macro="">
      <xdr:nvGraphicFramePr>
        <xdr:cNvPr id="162" name="Chart 2">
          <a:extLst>
            <a:ext uri="{FF2B5EF4-FFF2-40B4-BE49-F238E27FC236}">
              <a16:creationId xmlns:a16="http://schemas.microsoft.com/office/drawing/2014/main" id="{3D304D4D-C762-4E51-598D-E563F59476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25</xdr:col>
      <xdr:colOff>323850</xdr:colOff>
      <xdr:row>72</xdr:row>
      <xdr:rowOff>16511</xdr:rowOff>
    </xdr:from>
    <xdr:to>
      <xdr:col>32</xdr:col>
      <xdr:colOff>377825</xdr:colOff>
      <xdr:row>88</xdr:row>
      <xdr:rowOff>3811</xdr:rowOff>
    </xdr:to>
    <xdr:graphicFrame macro="">
      <xdr:nvGraphicFramePr>
        <xdr:cNvPr id="163" name="Chart 3">
          <a:extLst>
            <a:ext uri="{FF2B5EF4-FFF2-40B4-BE49-F238E27FC236}">
              <a16:creationId xmlns:a16="http://schemas.microsoft.com/office/drawing/2014/main" id="{0B07C299-0418-B2AD-B823-74ADA28769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2F7DF6-6335-4BD2-9934-7BA054BF6273}" name="Table1" displayName="Table1" ref="A2:C34" headerRowDxfId="5" dataDxfId="4" totalsRowDxfId="3">
  <autoFilter ref="A2:C34" xr:uid="{E32F7DF6-6335-4BD2-9934-7BA054BF6273}">
    <filterColumn colId="0" hiddenButton="1"/>
    <filterColumn colId="1" hiddenButton="1"/>
    <filterColumn colId="2" hiddenButton="1"/>
  </autoFilter>
  <tableColumns count="3">
    <tableColumn id="1" xr3:uid="{117500AC-AEBC-48AC-A0DD-A8B962F7EFD7}" name="Norsk" totalsRowLabel="Total" dataDxfId="2"/>
    <tableColumn id="2" xr3:uid="{4714D011-C170-4323-90E7-1D4EC5C0991E}" name="Engelsk" dataDxfId="1"/>
    <tableColumn id="3" xr3:uid="{E5892620-2457-4636-8EC9-DD843CD084B5}" name="(symbol)" totalsRowFunction="count" dataDxfId="0"/>
  </tableColumns>
  <tableStyleInfo name="TableStyleMedium11" showFirstColumn="0" showLastColumn="0" showRowStripes="1" showColumnStripes="1"/>
</table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01B3270-9982-476A-9BA8-86F49295097F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feb8b84d-0181-47d5-9529-28bd6ec299d3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54CAD-0676-4E74-B02D-B9449B71A440}">
  <dimension ref="A1:V132"/>
  <sheetViews>
    <sheetView tabSelected="1" zoomScale="55" zoomScaleNormal="55" workbookViewId="0">
      <selection activeCell="O13" sqref="O13"/>
    </sheetView>
  </sheetViews>
  <sheetFormatPr baseColWidth="10" defaultColWidth="9.140625" defaultRowHeight="15" x14ac:dyDescent="0.25"/>
  <cols>
    <col min="1" max="1" width="28.7109375" customWidth="1"/>
    <col min="2" max="2" width="8.28515625" bestFit="1" customWidth="1"/>
    <col min="3" max="3" width="7.7109375" bestFit="1" customWidth="1"/>
    <col min="4" max="4" width="9.5703125" bestFit="1" customWidth="1"/>
    <col min="5" max="5" width="9" bestFit="1" customWidth="1"/>
    <col min="6" max="6" width="8.5703125" bestFit="1" customWidth="1"/>
    <col min="7" max="7" width="8" bestFit="1" customWidth="1"/>
    <col min="9" max="9" width="8.7109375" customWidth="1"/>
  </cols>
  <sheetData>
    <row r="1" spans="1:9" ht="30" customHeight="1" x14ac:dyDescent="0.3">
      <c r="A1" s="57" t="s">
        <v>54</v>
      </c>
      <c r="B1" s="57"/>
      <c r="C1" s="57"/>
      <c r="D1" s="57"/>
      <c r="E1" s="57"/>
      <c r="F1" s="57"/>
      <c r="G1" s="57"/>
      <c r="I1" s="47"/>
    </row>
    <row r="3" spans="1:9" ht="22.5" customHeight="1" x14ac:dyDescent="0.25">
      <c r="A3" s="56" t="s">
        <v>55</v>
      </c>
      <c r="B3" s="56"/>
      <c r="C3" s="56"/>
      <c r="D3" s="56"/>
      <c r="E3" s="56"/>
      <c r="F3" s="56"/>
      <c r="G3" s="56"/>
      <c r="I3" s="48"/>
    </row>
    <row r="4" spans="1:9" x14ac:dyDescent="0.25">
      <c r="A4" s="45" t="s">
        <v>56</v>
      </c>
      <c r="I4" s="49"/>
    </row>
    <row r="5" spans="1:9" x14ac:dyDescent="0.25">
      <c r="A5" s="45" t="s">
        <v>51</v>
      </c>
      <c r="B5" s="43" t="s">
        <v>57</v>
      </c>
      <c r="C5" s="43" t="s">
        <v>58</v>
      </c>
      <c r="D5" s="43" t="s">
        <v>59</v>
      </c>
      <c r="E5" s="43" t="s">
        <v>60</v>
      </c>
      <c r="F5" s="43" t="s">
        <v>61</v>
      </c>
      <c r="G5" s="43" t="s">
        <v>62</v>
      </c>
      <c r="I5" s="50"/>
    </row>
    <row r="6" spans="1:9" x14ac:dyDescent="0.25">
      <c r="A6">
        <v>0</v>
      </c>
      <c r="B6">
        <v>1460</v>
      </c>
      <c r="C6">
        <v>1460</v>
      </c>
      <c r="D6">
        <v>862</v>
      </c>
      <c r="E6">
        <v>862</v>
      </c>
      <c r="F6">
        <v>1030</v>
      </c>
      <c r="G6">
        <v>1030</v>
      </c>
      <c r="I6" s="49"/>
    </row>
    <row r="7" spans="1:9" x14ac:dyDescent="0.25">
      <c r="A7">
        <v>3</v>
      </c>
      <c r="B7">
        <v>669</v>
      </c>
      <c r="C7">
        <v>1130</v>
      </c>
      <c r="D7">
        <v>645</v>
      </c>
      <c r="E7">
        <v>771</v>
      </c>
      <c r="F7">
        <v>852</v>
      </c>
      <c r="G7">
        <v>846</v>
      </c>
      <c r="I7" s="49"/>
    </row>
    <row r="8" spans="1:9" x14ac:dyDescent="0.25">
      <c r="A8">
        <v>6</v>
      </c>
      <c r="B8">
        <v>1100</v>
      </c>
      <c r="C8">
        <v>1150</v>
      </c>
      <c r="D8">
        <v>820</v>
      </c>
      <c r="E8">
        <v>895</v>
      </c>
      <c r="F8">
        <v>935</v>
      </c>
      <c r="G8">
        <v>844</v>
      </c>
      <c r="I8" s="51"/>
    </row>
    <row r="9" spans="1:9" x14ac:dyDescent="0.25">
      <c r="A9">
        <v>9</v>
      </c>
      <c r="B9">
        <v>1350</v>
      </c>
      <c r="C9">
        <v>1130</v>
      </c>
      <c r="D9">
        <v>863</v>
      </c>
      <c r="E9">
        <v>827</v>
      </c>
      <c r="F9">
        <v>1020</v>
      </c>
      <c r="G9">
        <v>931</v>
      </c>
      <c r="I9" s="49"/>
    </row>
    <row r="10" spans="1:9" x14ac:dyDescent="0.25">
      <c r="A10">
        <v>12</v>
      </c>
      <c r="B10">
        <v>1060</v>
      </c>
      <c r="C10">
        <v>1010</v>
      </c>
      <c r="D10">
        <v>511</v>
      </c>
      <c r="E10">
        <v>485</v>
      </c>
      <c r="F10">
        <v>1060</v>
      </c>
      <c r="G10">
        <v>504</v>
      </c>
      <c r="I10" s="49"/>
    </row>
    <row r="11" spans="1:9" x14ac:dyDescent="0.25">
      <c r="I11" s="49"/>
    </row>
    <row r="12" spans="1:9" x14ac:dyDescent="0.25">
      <c r="A12" s="45" t="s">
        <v>63</v>
      </c>
      <c r="I12" s="49"/>
    </row>
    <row r="13" spans="1:9" x14ac:dyDescent="0.25">
      <c r="A13" s="45" t="s">
        <v>51</v>
      </c>
      <c r="B13" s="43" t="s">
        <v>57</v>
      </c>
      <c r="C13" s="43" t="s">
        <v>58</v>
      </c>
      <c r="D13" s="43" t="s">
        <v>59</v>
      </c>
      <c r="E13" s="43" t="s">
        <v>60</v>
      </c>
      <c r="F13" s="43" t="s">
        <v>61</v>
      </c>
      <c r="G13" s="43" t="s">
        <v>62</v>
      </c>
      <c r="I13" s="49"/>
    </row>
    <row r="14" spans="1:9" x14ac:dyDescent="0.25">
      <c r="A14">
        <v>0</v>
      </c>
      <c r="B14">
        <v>1460</v>
      </c>
      <c r="C14">
        <v>1460</v>
      </c>
      <c r="D14">
        <v>862</v>
      </c>
      <c r="E14">
        <v>862</v>
      </c>
      <c r="F14">
        <v>1030</v>
      </c>
      <c r="G14">
        <v>1030</v>
      </c>
      <c r="I14" s="51"/>
    </row>
    <row r="15" spans="1:9" x14ac:dyDescent="0.25">
      <c r="A15">
        <v>3</v>
      </c>
      <c r="B15">
        <v>830</v>
      </c>
      <c r="C15">
        <v>710</v>
      </c>
      <c r="D15">
        <v>565</v>
      </c>
      <c r="E15">
        <v>776</v>
      </c>
      <c r="F15">
        <v>849</v>
      </c>
      <c r="G15">
        <v>863</v>
      </c>
      <c r="I15" s="49"/>
    </row>
    <row r="16" spans="1:9" x14ac:dyDescent="0.25">
      <c r="A16">
        <v>6</v>
      </c>
      <c r="B16">
        <v>1070</v>
      </c>
      <c r="C16">
        <v>1100</v>
      </c>
      <c r="D16">
        <v>790</v>
      </c>
      <c r="E16">
        <v>825</v>
      </c>
      <c r="F16">
        <v>895</v>
      </c>
      <c r="G16">
        <v>912</v>
      </c>
      <c r="I16" s="49"/>
    </row>
    <row r="17" spans="1:9" x14ac:dyDescent="0.25">
      <c r="A17">
        <v>9</v>
      </c>
      <c r="B17">
        <v>1320</v>
      </c>
      <c r="C17">
        <v>1280</v>
      </c>
      <c r="D17">
        <v>913</v>
      </c>
      <c r="E17">
        <v>804</v>
      </c>
      <c r="F17">
        <v>929</v>
      </c>
      <c r="G17">
        <v>923</v>
      </c>
      <c r="I17" s="49"/>
    </row>
    <row r="18" spans="1:9" x14ac:dyDescent="0.25">
      <c r="A18">
        <v>12</v>
      </c>
      <c r="B18">
        <v>720</v>
      </c>
      <c r="C18">
        <v>862</v>
      </c>
      <c r="D18">
        <v>559</v>
      </c>
      <c r="E18">
        <v>526</v>
      </c>
      <c r="F18">
        <v>760</v>
      </c>
      <c r="G18">
        <v>618</v>
      </c>
      <c r="I18" s="49"/>
    </row>
    <row r="19" spans="1:9" x14ac:dyDescent="0.25">
      <c r="I19" s="51"/>
    </row>
    <row r="20" spans="1:9" x14ac:dyDescent="0.25">
      <c r="A20" s="45" t="s">
        <v>64</v>
      </c>
      <c r="I20" s="49"/>
    </row>
    <row r="21" spans="1:9" x14ac:dyDescent="0.25">
      <c r="A21" s="45" t="s">
        <v>51</v>
      </c>
      <c r="B21" s="43" t="s">
        <v>57</v>
      </c>
      <c r="C21" s="43" t="s">
        <v>58</v>
      </c>
      <c r="D21" s="43" t="s">
        <v>59</v>
      </c>
      <c r="E21" s="43" t="s">
        <v>60</v>
      </c>
      <c r="F21" s="43" t="s">
        <v>61</v>
      </c>
      <c r="G21" s="43" t="s">
        <v>62</v>
      </c>
      <c r="I21" s="50"/>
    </row>
    <row r="22" spans="1:9" x14ac:dyDescent="0.25">
      <c r="A22">
        <v>0</v>
      </c>
      <c r="B22">
        <v>1460</v>
      </c>
      <c r="C22">
        <v>1460</v>
      </c>
      <c r="D22">
        <v>862</v>
      </c>
      <c r="E22">
        <v>862</v>
      </c>
      <c r="F22">
        <v>1030</v>
      </c>
      <c r="G22">
        <v>1030</v>
      </c>
      <c r="I22" s="49"/>
    </row>
    <row r="23" spans="1:9" x14ac:dyDescent="0.25">
      <c r="A23">
        <v>3</v>
      </c>
      <c r="B23">
        <v>815</v>
      </c>
      <c r="C23">
        <v>1310</v>
      </c>
      <c r="D23">
        <v>665</v>
      </c>
      <c r="E23">
        <v>515</v>
      </c>
      <c r="F23">
        <v>955</v>
      </c>
      <c r="G23">
        <v>882</v>
      </c>
      <c r="I23" s="49"/>
    </row>
    <row r="24" spans="1:9" x14ac:dyDescent="0.25">
      <c r="A24">
        <v>6</v>
      </c>
      <c r="B24" t="s">
        <v>17</v>
      </c>
      <c r="C24" t="s">
        <v>17</v>
      </c>
      <c r="D24">
        <v>824</v>
      </c>
      <c r="E24">
        <v>768</v>
      </c>
      <c r="F24">
        <v>910</v>
      </c>
      <c r="G24">
        <v>902</v>
      </c>
    </row>
    <row r="25" spans="1:9" x14ac:dyDescent="0.25">
      <c r="A25">
        <v>9</v>
      </c>
      <c r="B25" t="s">
        <v>17</v>
      </c>
      <c r="C25" t="s">
        <v>17</v>
      </c>
      <c r="D25">
        <v>830</v>
      </c>
      <c r="E25">
        <v>735</v>
      </c>
      <c r="F25">
        <v>885</v>
      </c>
      <c r="G25">
        <v>959</v>
      </c>
    </row>
    <row r="26" spans="1:9" x14ac:dyDescent="0.25">
      <c r="A26">
        <v>12</v>
      </c>
      <c r="B26" t="s">
        <v>17</v>
      </c>
      <c r="C26" t="s">
        <v>17</v>
      </c>
      <c r="D26">
        <v>539</v>
      </c>
      <c r="E26">
        <v>817</v>
      </c>
      <c r="F26">
        <v>766</v>
      </c>
      <c r="G26">
        <v>979</v>
      </c>
    </row>
    <row r="28" spans="1:9" ht="26.25" customHeight="1" x14ac:dyDescent="0.25">
      <c r="A28" s="56" t="s">
        <v>65</v>
      </c>
      <c r="B28" s="56"/>
      <c r="C28" s="56"/>
      <c r="D28" s="56"/>
      <c r="E28" s="56"/>
      <c r="F28" s="56"/>
      <c r="G28" s="56"/>
    </row>
    <row r="29" spans="1:9" x14ac:dyDescent="0.25">
      <c r="A29" s="58" t="s">
        <v>66</v>
      </c>
      <c r="B29" s="58"/>
      <c r="C29" s="58"/>
    </row>
    <row r="30" spans="1:9" x14ac:dyDescent="0.25">
      <c r="A30" s="45" t="s">
        <v>67</v>
      </c>
      <c r="B30" s="43" t="s">
        <v>68</v>
      </c>
      <c r="C30" s="43" t="s">
        <v>69</v>
      </c>
    </row>
    <row r="31" spans="1:9" x14ac:dyDescent="0.25">
      <c r="A31" s="46" t="s">
        <v>70</v>
      </c>
      <c r="B31" s="44">
        <v>-27.4</v>
      </c>
      <c r="C31" s="44">
        <v>-30.8</v>
      </c>
    </row>
    <row r="32" spans="1:9" x14ac:dyDescent="0.25">
      <c r="A32" s="46" t="s">
        <v>71</v>
      </c>
      <c r="B32" s="44">
        <v>-50.7</v>
      </c>
      <c r="C32" s="44">
        <v>-41</v>
      </c>
    </row>
    <row r="33" spans="1:3" x14ac:dyDescent="0.25">
      <c r="A33" s="46" t="s">
        <v>72</v>
      </c>
      <c r="B33" s="44"/>
      <c r="C33" s="44"/>
    </row>
    <row r="34" spans="1:3" x14ac:dyDescent="0.25">
      <c r="A34" s="46" t="s">
        <v>73</v>
      </c>
      <c r="B34" s="44">
        <v>-40.700000000000003</v>
      </c>
      <c r="C34" s="44">
        <v>-43.7</v>
      </c>
    </row>
    <row r="35" spans="1:3" x14ac:dyDescent="0.25">
      <c r="A35" s="46" t="s">
        <v>74</v>
      </c>
      <c r="B35" s="44">
        <v>-35.200000000000003</v>
      </c>
      <c r="C35" s="44">
        <v>-39</v>
      </c>
    </row>
    <row r="36" spans="1:3" x14ac:dyDescent="0.25">
      <c r="A36" s="46" t="s">
        <v>75</v>
      </c>
      <c r="B36" s="44">
        <v>-37.5</v>
      </c>
      <c r="C36" s="44">
        <v>-5.2</v>
      </c>
    </row>
    <row r="37" spans="1:3" x14ac:dyDescent="0.25">
      <c r="A37" s="46" t="s">
        <v>76</v>
      </c>
      <c r="B37" s="44">
        <v>2.9</v>
      </c>
      <c r="C37" s="44">
        <v>-51.1</v>
      </c>
    </row>
    <row r="38" spans="1:3" x14ac:dyDescent="0.25">
      <c r="A38" s="46" t="s">
        <v>77</v>
      </c>
      <c r="B38" s="44">
        <v>-26.2</v>
      </c>
      <c r="C38" s="44">
        <v>-40</v>
      </c>
    </row>
    <row r="39" spans="1:3" x14ac:dyDescent="0.25">
      <c r="A39" s="46" t="s">
        <v>78</v>
      </c>
      <c r="B39" s="44">
        <v>-25.6</v>
      </c>
      <c r="C39" s="44">
        <v>-5</v>
      </c>
    </row>
    <row r="41" spans="1:3" x14ac:dyDescent="0.25">
      <c r="A41" s="58" t="s">
        <v>79</v>
      </c>
      <c r="B41" s="58"/>
      <c r="C41" s="58"/>
    </row>
    <row r="42" spans="1:3" x14ac:dyDescent="0.25">
      <c r="A42" s="45" t="s">
        <v>67</v>
      </c>
      <c r="B42" s="43" t="s">
        <v>68</v>
      </c>
      <c r="C42" s="43" t="s">
        <v>69</v>
      </c>
    </row>
    <row r="43" spans="1:3" x14ac:dyDescent="0.25">
      <c r="A43" s="46" t="s">
        <v>70</v>
      </c>
      <c r="B43" s="44">
        <v>-16.2</v>
      </c>
      <c r="C43" s="44">
        <v>-33.9</v>
      </c>
    </row>
    <row r="44" spans="1:3" x14ac:dyDescent="0.25">
      <c r="A44" s="46" t="s">
        <v>71</v>
      </c>
      <c r="B44" s="44">
        <v>-20.6</v>
      </c>
      <c r="C44" s="44">
        <v>-32.299999999999997</v>
      </c>
    </row>
    <row r="45" spans="1:3" x14ac:dyDescent="0.25">
      <c r="A45" s="46" t="s">
        <v>72</v>
      </c>
      <c r="B45" s="44"/>
      <c r="C45" s="44"/>
    </row>
    <row r="46" spans="1:3" x14ac:dyDescent="0.25">
      <c r="A46" s="46" t="s">
        <v>73</v>
      </c>
      <c r="B46" s="44">
        <v>-11.2</v>
      </c>
      <c r="C46" s="44">
        <v>-13.3</v>
      </c>
    </row>
    <row r="47" spans="1:3" x14ac:dyDescent="0.25">
      <c r="A47" s="46" t="s">
        <v>74</v>
      </c>
      <c r="B47" s="44">
        <v>-5.8</v>
      </c>
      <c r="C47" s="44">
        <v>-2.6</v>
      </c>
    </row>
    <row r="48" spans="1:3" x14ac:dyDescent="0.25">
      <c r="A48" s="46" t="s">
        <v>75</v>
      </c>
      <c r="B48" s="44">
        <v>-5.6</v>
      </c>
      <c r="C48" s="44">
        <v>12.3</v>
      </c>
    </row>
    <row r="49" spans="1:3" x14ac:dyDescent="0.25">
      <c r="A49" s="46" t="s">
        <v>76</v>
      </c>
      <c r="B49" s="44">
        <v>-6.8</v>
      </c>
      <c r="C49" s="44">
        <v>-38.4</v>
      </c>
    </row>
    <row r="50" spans="1:3" x14ac:dyDescent="0.25">
      <c r="A50" s="46" t="s">
        <v>77</v>
      </c>
      <c r="B50" s="44">
        <v>-18.5</v>
      </c>
      <c r="C50" s="44">
        <v>-32.6</v>
      </c>
    </row>
    <row r="51" spans="1:3" x14ac:dyDescent="0.25">
      <c r="A51" s="46" t="s">
        <v>78</v>
      </c>
      <c r="B51" s="44">
        <v>-13.8</v>
      </c>
      <c r="C51" s="44">
        <v>-6</v>
      </c>
    </row>
    <row r="113" spans="18:22" ht="21" x14ac:dyDescent="0.25">
      <c r="R113" s="52"/>
      <c r="S113" s="52"/>
      <c r="T113" s="52"/>
      <c r="U113" s="52"/>
      <c r="V113" s="52"/>
    </row>
    <row r="114" spans="18:22" ht="21" x14ac:dyDescent="0.25">
      <c r="R114" s="52"/>
      <c r="S114" s="52"/>
      <c r="T114" s="52"/>
      <c r="U114" s="52"/>
      <c r="V114" s="52"/>
    </row>
    <row r="115" spans="18:22" ht="21" x14ac:dyDescent="0.25">
      <c r="R115" s="52"/>
      <c r="S115" s="52"/>
      <c r="T115" s="52"/>
      <c r="U115" s="52"/>
      <c r="V115" s="52"/>
    </row>
    <row r="116" spans="18:22" ht="21" x14ac:dyDescent="0.25">
      <c r="R116" s="52"/>
      <c r="S116" s="52"/>
      <c r="T116" s="52"/>
      <c r="U116" s="52"/>
      <c r="V116" s="52"/>
    </row>
    <row r="117" spans="18:22" ht="21" x14ac:dyDescent="0.25">
      <c r="R117" s="52"/>
      <c r="S117" s="52"/>
      <c r="T117" s="52"/>
      <c r="U117" s="52"/>
      <c r="V117" s="52"/>
    </row>
    <row r="118" spans="18:22" ht="21" x14ac:dyDescent="0.25">
      <c r="R118" s="52"/>
      <c r="S118" s="52"/>
      <c r="T118" s="52"/>
      <c r="U118" s="52"/>
      <c r="V118" s="52"/>
    </row>
    <row r="119" spans="18:22" ht="21" x14ac:dyDescent="0.25">
      <c r="R119" s="52"/>
      <c r="S119" s="52"/>
      <c r="T119" s="52"/>
      <c r="U119" s="52"/>
      <c r="V119" s="52"/>
    </row>
    <row r="120" spans="18:22" ht="21" x14ac:dyDescent="0.25">
      <c r="R120" s="52"/>
      <c r="S120" s="52"/>
      <c r="T120" s="52"/>
      <c r="U120" s="52"/>
      <c r="V120" s="52"/>
    </row>
    <row r="121" spans="18:22" ht="21" x14ac:dyDescent="0.25">
      <c r="R121" s="52"/>
      <c r="S121" s="52"/>
      <c r="T121" s="52"/>
      <c r="U121" s="52"/>
      <c r="V121" s="52"/>
    </row>
    <row r="123" spans="18:22" x14ac:dyDescent="0.25">
      <c r="R123" s="53"/>
      <c r="S123" s="53"/>
      <c r="T123" s="53"/>
      <c r="U123" s="53"/>
      <c r="V123" s="53"/>
    </row>
    <row r="124" spans="18:22" x14ac:dyDescent="0.25">
      <c r="R124" s="53"/>
      <c r="S124" s="53"/>
      <c r="T124" s="53"/>
      <c r="U124" s="53"/>
      <c r="V124" s="53"/>
    </row>
    <row r="125" spans="18:22" x14ac:dyDescent="0.25">
      <c r="R125" s="53"/>
      <c r="S125" s="53"/>
      <c r="T125" s="53"/>
      <c r="U125" s="53"/>
      <c r="V125" s="53"/>
    </row>
    <row r="126" spans="18:22" x14ac:dyDescent="0.25">
      <c r="R126" s="53"/>
      <c r="S126" s="53"/>
      <c r="T126" s="53"/>
      <c r="U126" s="53"/>
      <c r="V126" s="53"/>
    </row>
    <row r="127" spans="18:22" x14ac:dyDescent="0.25">
      <c r="R127" s="53"/>
      <c r="S127" s="53"/>
      <c r="T127" s="53"/>
      <c r="U127" s="53"/>
      <c r="V127" s="53"/>
    </row>
    <row r="128" spans="18:22" x14ac:dyDescent="0.25">
      <c r="R128" s="53"/>
      <c r="S128" s="53"/>
      <c r="T128" s="53"/>
      <c r="U128" s="53"/>
      <c r="V128" s="53"/>
    </row>
    <row r="129" spans="18:22" x14ac:dyDescent="0.25">
      <c r="R129" s="53"/>
      <c r="S129" s="53"/>
      <c r="T129" s="53"/>
      <c r="U129" s="53"/>
      <c r="V129" s="53"/>
    </row>
    <row r="130" spans="18:22" x14ac:dyDescent="0.25">
      <c r="R130" s="53"/>
      <c r="S130" s="53"/>
      <c r="T130" s="53"/>
      <c r="U130" s="53"/>
      <c r="V130" s="53"/>
    </row>
    <row r="131" spans="18:22" x14ac:dyDescent="0.25">
      <c r="R131" s="53"/>
      <c r="S131" s="53"/>
      <c r="T131" s="53"/>
      <c r="U131" s="53"/>
      <c r="V131" s="53"/>
    </row>
    <row r="132" spans="18:22" x14ac:dyDescent="0.25">
      <c r="R132" s="53"/>
      <c r="S132" s="53"/>
      <c r="T132" s="53"/>
      <c r="U132" s="53"/>
      <c r="V132" s="53"/>
    </row>
  </sheetData>
  <mergeCells count="5">
    <mergeCell ref="A28:G28"/>
    <mergeCell ref="A1:G1"/>
    <mergeCell ref="A3:G3"/>
    <mergeCell ref="A29:C29"/>
    <mergeCell ref="A41:C4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Q117"/>
  <sheetViews>
    <sheetView topLeftCell="B1" zoomScale="85" zoomScaleNormal="85" workbookViewId="0">
      <selection activeCell="S10" sqref="S10"/>
    </sheetView>
  </sheetViews>
  <sheetFormatPr baseColWidth="10" defaultColWidth="9.140625" defaultRowHeight="15" x14ac:dyDescent="0.25"/>
  <cols>
    <col min="1" max="1" width="9.140625" style="13"/>
    <col min="2" max="2" width="9.5703125" style="13" bestFit="1" customWidth="1"/>
    <col min="3" max="3" width="12.85546875" style="13" bestFit="1" customWidth="1"/>
    <col min="4" max="5" width="9.28515625" style="13" bestFit="1" customWidth="1"/>
    <col min="6" max="6" width="15.85546875" style="13" customWidth="1"/>
    <col min="7" max="8" width="9.28515625" style="13" bestFit="1" customWidth="1"/>
    <col min="9" max="9" width="15.42578125" style="13" customWidth="1"/>
    <col min="10" max="11" width="9.28515625" style="13" bestFit="1" customWidth="1"/>
    <col min="12" max="12" width="11.7109375" style="13" customWidth="1"/>
    <col min="13" max="14" width="9.28515625" style="13" bestFit="1" customWidth="1"/>
    <col min="15" max="15" width="12.85546875" style="13" bestFit="1" customWidth="1"/>
    <col min="16" max="16" width="9.5703125" style="13" bestFit="1" customWidth="1"/>
    <col min="17" max="17" width="9.42578125" style="13" customWidth="1"/>
    <col min="18" max="18" width="16.7109375" style="13" customWidth="1"/>
    <col min="19" max="19" width="9.5703125" style="13" bestFit="1" customWidth="1"/>
    <col min="20" max="20" width="11" style="13" bestFit="1" customWidth="1"/>
    <col min="21" max="21" width="15" style="13" customWidth="1"/>
    <col min="22" max="23" width="9.28515625" style="13" bestFit="1" customWidth="1"/>
    <col min="24" max="24" width="12" style="13" customWidth="1"/>
    <col min="25" max="26" width="9.28515625" style="13" bestFit="1" customWidth="1"/>
    <col min="27" max="28" width="9.140625" style="13"/>
    <col min="29" max="29" width="18.85546875" style="13" bestFit="1" customWidth="1"/>
    <col min="30" max="30" width="9.140625" style="13"/>
    <col min="31" max="31" width="18.85546875" style="13" bestFit="1" customWidth="1"/>
    <col min="32" max="35" width="9.140625" style="13"/>
    <col min="36" max="36" width="42" style="13" customWidth="1"/>
    <col min="37" max="37" width="35" style="13" customWidth="1"/>
    <col min="38" max="16384" width="9.140625" style="13"/>
  </cols>
  <sheetData>
    <row r="1" spans="2:32" ht="15.75" thickBot="1" x14ac:dyDescent="0.3"/>
    <row r="2" spans="2:32" ht="15" customHeight="1" thickBot="1" x14ac:dyDescent="0.3">
      <c r="B2" s="59" t="s">
        <v>0</v>
      </c>
      <c r="C2" s="60"/>
      <c r="D2" s="63" t="s">
        <v>1</v>
      </c>
      <c r="E2" s="64"/>
      <c r="F2" s="64"/>
      <c r="G2" s="64"/>
      <c r="H2" s="64"/>
      <c r="I2" s="64"/>
      <c r="J2" s="64"/>
      <c r="O2" s="2"/>
      <c r="P2" s="2"/>
      <c r="Q2" s="2"/>
      <c r="R2" s="2"/>
    </row>
    <row r="3" spans="2:32" ht="15" customHeight="1" thickBot="1" x14ac:dyDescent="0.3">
      <c r="B3" s="61"/>
      <c r="C3" s="62"/>
      <c r="D3" s="65" t="s">
        <v>45</v>
      </c>
      <c r="E3" s="66"/>
      <c r="F3" s="66"/>
      <c r="G3" s="66"/>
      <c r="H3" s="66"/>
      <c r="I3" s="66"/>
      <c r="J3" s="66"/>
      <c r="K3" s="66"/>
      <c r="L3" s="66"/>
      <c r="M3" s="66"/>
      <c r="N3" s="66"/>
      <c r="O3" s="67" t="s">
        <v>46</v>
      </c>
      <c r="P3" s="68"/>
      <c r="Q3" s="68"/>
      <c r="R3" s="68"/>
      <c r="S3" s="68"/>
      <c r="T3" s="68"/>
      <c r="U3" s="68"/>
      <c r="V3" s="68"/>
      <c r="W3" s="68"/>
      <c r="X3" s="68"/>
      <c r="Y3" s="68"/>
      <c r="Z3" s="69"/>
    </row>
    <row r="4" spans="2:32" ht="65.25" customHeight="1" x14ac:dyDescent="0.25">
      <c r="B4" s="7" t="s">
        <v>2</v>
      </c>
      <c r="C4" s="7" t="s">
        <v>32</v>
      </c>
      <c r="D4" s="3" t="s">
        <v>3</v>
      </c>
      <c r="E4" s="3" t="s">
        <v>4</v>
      </c>
      <c r="F4" s="3" t="s">
        <v>18</v>
      </c>
      <c r="G4" s="3" t="s">
        <v>5</v>
      </c>
      <c r="H4" s="3" t="s">
        <v>6</v>
      </c>
      <c r="I4" s="3" t="s">
        <v>42</v>
      </c>
      <c r="J4" s="3" t="s">
        <v>5</v>
      </c>
      <c r="K4" s="3" t="s">
        <v>6</v>
      </c>
      <c r="L4" s="3" t="s">
        <v>44</v>
      </c>
      <c r="M4" s="8" t="s">
        <v>5</v>
      </c>
      <c r="N4" s="11" t="s">
        <v>6</v>
      </c>
      <c r="O4" s="10" t="s">
        <v>33</v>
      </c>
      <c r="P4" s="9" t="s">
        <v>7</v>
      </c>
      <c r="Q4" s="3" t="s">
        <v>8</v>
      </c>
      <c r="R4" s="3" t="s">
        <v>19</v>
      </c>
      <c r="S4" s="3" t="s">
        <v>5</v>
      </c>
      <c r="T4" s="3" t="s">
        <v>6</v>
      </c>
      <c r="U4" s="3" t="s">
        <v>43</v>
      </c>
      <c r="V4" s="3" t="s">
        <v>5</v>
      </c>
      <c r="W4" s="3" t="s">
        <v>6</v>
      </c>
      <c r="X4" s="3" t="s">
        <v>48</v>
      </c>
      <c r="Y4" s="3" t="s">
        <v>5</v>
      </c>
      <c r="Z4" s="3" t="s">
        <v>6</v>
      </c>
      <c r="AB4" s="34" t="s">
        <v>51</v>
      </c>
      <c r="AC4" s="37" t="s">
        <v>49</v>
      </c>
      <c r="AD4" s="37" t="s">
        <v>52</v>
      </c>
      <c r="AE4" s="37" t="s">
        <v>50</v>
      </c>
      <c r="AF4" s="34" t="s">
        <v>53</v>
      </c>
    </row>
    <row r="5" spans="2:32" ht="15.75" x14ac:dyDescent="0.25">
      <c r="B5" s="4">
        <v>0</v>
      </c>
      <c r="C5" s="15">
        <v>1460</v>
      </c>
      <c r="D5" s="15">
        <v>188</v>
      </c>
      <c r="E5" s="15">
        <f>D5/2</f>
        <v>94</v>
      </c>
      <c r="F5" s="15">
        <v>15</v>
      </c>
      <c r="G5" s="15">
        <v>1.98</v>
      </c>
      <c r="H5" s="15">
        <f>G5/2</f>
        <v>0.99</v>
      </c>
      <c r="I5" s="15">
        <v>49.5</v>
      </c>
      <c r="J5" s="15">
        <v>2.15</v>
      </c>
      <c r="K5" s="15">
        <f>J5/2</f>
        <v>1.075</v>
      </c>
      <c r="L5" s="16">
        <v>12.3</v>
      </c>
      <c r="M5" s="17">
        <v>3.62</v>
      </c>
      <c r="N5" s="18">
        <f>M5/2</f>
        <v>1.81</v>
      </c>
      <c r="O5" s="19">
        <v>1460</v>
      </c>
      <c r="P5" s="19">
        <v>188</v>
      </c>
      <c r="Q5" s="15">
        <f>P5/2</f>
        <v>94</v>
      </c>
      <c r="R5" s="16">
        <v>15</v>
      </c>
      <c r="S5" s="15">
        <v>1.98</v>
      </c>
      <c r="T5" s="15">
        <f>S5/2</f>
        <v>0.99</v>
      </c>
      <c r="U5" s="16">
        <v>49.5</v>
      </c>
      <c r="V5" s="15">
        <v>2.15</v>
      </c>
      <c r="W5" s="15">
        <f>V5/2</f>
        <v>1.075</v>
      </c>
      <c r="X5" s="16">
        <v>12.3</v>
      </c>
      <c r="Y5" s="16">
        <v>3.62</v>
      </c>
      <c r="Z5" s="16">
        <f>Y5/2</f>
        <v>1.81</v>
      </c>
      <c r="AB5" s="34">
        <v>0</v>
      </c>
      <c r="AC5" s="34"/>
      <c r="AD5" s="34"/>
      <c r="AE5" s="34"/>
      <c r="AF5" s="34"/>
    </row>
    <row r="6" spans="2:32" ht="15.75" x14ac:dyDescent="0.25">
      <c r="B6" s="4">
        <v>3</v>
      </c>
      <c r="C6" s="15">
        <v>1130</v>
      </c>
      <c r="D6" s="15">
        <v>281</v>
      </c>
      <c r="E6" s="15">
        <f t="shared" ref="E6:E9" si="0">D6/2</f>
        <v>140.5</v>
      </c>
      <c r="F6" s="15">
        <v>16.399999999999999</v>
      </c>
      <c r="G6" s="15">
        <v>1.58</v>
      </c>
      <c r="H6" s="15">
        <f t="shared" ref="H6:H9" si="1">G6/2</f>
        <v>0.79</v>
      </c>
      <c r="I6" s="15">
        <v>46.9</v>
      </c>
      <c r="J6" s="15">
        <v>1.55</v>
      </c>
      <c r="K6" s="15">
        <f t="shared" ref="K6:K9" si="2">J6/2</f>
        <v>0.77500000000000002</v>
      </c>
      <c r="L6" s="16">
        <v>24.1</v>
      </c>
      <c r="M6" s="17">
        <v>5.31</v>
      </c>
      <c r="N6" s="18">
        <f t="shared" ref="N6:N9" si="3">M6/2</f>
        <v>2.6549999999999998</v>
      </c>
      <c r="O6" s="20">
        <v>669</v>
      </c>
      <c r="P6" s="21">
        <v>161</v>
      </c>
      <c r="Q6" s="15">
        <f t="shared" ref="Q6:Q9" si="4">P6/2</f>
        <v>80.5</v>
      </c>
      <c r="R6" s="15">
        <v>17.2</v>
      </c>
      <c r="S6" s="15">
        <v>2.2400000000000002</v>
      </c>
      <c r="T6" s="15">
        <f t="shared" ref="T6:T9" si="5">S6/2</f>
        <v>1.1200000000000001</v>
      </c>
      <c r="U6" s="15">
        <v>50.9</v>
      </c>
      <c r="V6" s="15">
        <v>2.66</v>
      </c>
      <c r="W6" s="15">
        <f>V6/2</f>
        <v>1.33</v>
      </c>
      <c r="X6" s="15">
        <v>15</v>
      </c>
      <c r="Y6" s="16">
        <v>8.0500000000000007</v>
      </c>
      <c r="Z6" s="16">
        <f t="shared" ref="Z6:Z9" si="6">Y6/2</f>
        <v>4.0250000000000004</v>
      </c>
      <c r="AB6" s="34">
        <v>3</v>
      </c>
      <c r="AC6" s="34"/>
      <c r="AD6" s="34"/>
      <c r="AE6" s="34"/>
      <c r="AF6" s="34"/>
    </row>
    <row r="7" spans="2:32" ht="15.75" x14ac:dyDescent="0.25">
      <c r="B7" s="5">
        <v>6</v>
      </c>
      <c r="C7" s="22">
        <v>1150</v>
      </c>
      <c r="D7" s="22">
        <v>352</v>
      </c>
      <c r="E7" s="15">
        <f t="shared" si="0"/>
        <v>176</v>
      </c>
      <c r="F7" s="22">
        <v>11.6</v>
      </c>
      <c r="G7" s="22">
        <v>1.46</v>
      </c>
      <c r="H7" s="15">
        <f t="shared" si="1"/>
        <v>0.73</v>
      </c>
      <c r="I7" s="22">
        <v>42.6</v>
      </c>
      <c r="J7" s="22">
        <v>1.42</v>
      </c>
      <c r="K7" s="15">
        <f t="shared" si="2"/>
        <v>0.71</v>
      </c>
      <c r="L7" s="16">
        <v>37.200000000000003</v>
      </c>
      <c r="M7" s="17">
        <v>20.5</v>
      </c>
      <c r="N7" s="18">
        <f t="shared" si="3"/>
        <v>10.25</v>
      </c>
      <c r="O7" s="23">
        <v>1100</v>
      </c>
      <c r="P7" s="23">
        <v>394</v>
      </c>
      <c r="Q7" s="15">
        <f t="shared" si="4"/>
        <v>197</v>
      </c>
      <c r="R7" s="22">
        <v>14.5</v>
      </c>
      <c r="S7" s="22">
        <v>5.48</v>
      </c>
      <c r="T7" s="15">
        <f t="shared" si="5"/>
        <v>2.74</v>
      </c>
      <c r="U7" s="22">
        <v>49.1</v>
      </c>
      <c r="V7" s="22">
        <v>6.41</v>
      </c>
      <c r="W7" s="15">
        <f t="shared" ref="W7:W9" si="7">V7/2</f>
        <v>3.2050000000000001</v>
      </c>
      <c r="X7" s="22">
        <v>14.9</v>
      </c>
      <c r="Y7" s="16">
        <v>4.79</v>
      </c>
      <c r="Z7" s="16">
        <f t="shared" si="6"/>
        <v>2.395</v>
      </c>
      <c r="AB7" s="34">
        <v>6</v>
      </c>
      <c r="AC7" s="34"/>
      <c r="AD7" s="34"/>
      <c r="AE7" s="34"/>
      <c r="AF7" s="34"/>
    </row>
    <row r="8" spans="2:32" ht="15.75" x14ac:dyDescent="0.25">
      <c r="B8" s="4">
        <v>9</v>
      </c>
      <c r="C8" s="15">
        <v>1130</v>
      </c>
      <c r="D8" s="15">
        <v>302</v>
      </c>
      <c r="E8" s="15">
        <f t="shared" si="0"/>
        <v>151</v>
      </c>
      <c r="F8" s="15">
        <v>17.5</v>
      </c>
      <c r="G8" s="15">
        <v>2.1800000000000002</v>
      </c>
      <c r="H8" s="15">
        <f t="shared" si="1"/>
        <v>1.0900000000000001</v>
      </c>
      <c r="I8" s="15">
        <v>49.7</v>
      </c>
      <c r="J8" s="15">
        <v>0.7</v>
      </c>
      <c r="K8" s="15">
        <f t="shared" si="2"/>
        <v>0.35</v>
      </c>
      <c r="L8" s="16">
        <v>28.4</v>
      </c>
      <c r="M8" s="17">
        <v>10.6</v>
      </c>
      <c r="N8" s="18">
        <f t="shared" si="3"/>
        <v>5.3</v>
      </c>
      <c r="O8" s="23">
        <v>1350</v>
      </c>
      <c r="P8" s="19">
        <v>58.7</v>
      </c>
      <c r="Q8" s="15">
        <f t="shared" si="4"/>
        <v>29.35</v>
      </c>
      <c r="R8" s="15">
        <v>17.600000000000001</v>
      </c>
      <c r="S8" s="15">
        <v>1.32</v>
      </c>
      <c r="T8" s="15">
        <f t="shared" si="5"/>
        <v>0.66</v>
      </c>
      <c r="U8" s="15">
        <v>49.3</v>
      </c>
      <c r="V8" s="15">
        <v>1.79</v>
      </c>
      <c r="W8" s="15">
        <f t="shared" si="7"/>
        <v>0.89500000000000002</v>
      </c>
      <c r="X8" s="15">
        <v>33.1</v>
      </c>
      <c r="Y8" s="16">
        <v>7.84</v>
      </c>
      <c r="Z8" s="16">
        <f t="shared" si="6"/>
        <v>3.92</v>
      </c>
      <c r="AB8" s="34">
        <v>9</v>
      </c>
      <c r="AC8" s="34"/>
      <c r="AD8" s="34"/>
      <c r="AE8" s="34"/>
      <c r="AF8" s="34"/>
    </row>
    <row r="9" spans="2:32" ht="15.75" x14ac:dyDescent="0.25">
      <c r="B9" s="4">
        <v>12</v>
      </c>
      <c r="C9" s="15">
        <v>1010</v>
      </c>
      <c r="D9" s="15">
        <v>342</v>
      </c>
      <c r="E9" s="15">
        <f t="shared" si="0"/>
        <v>171</v>
      </c>
      <c r="F9" s="15">
        <v>5.3</v>
      </c>
      <c r="G9" s="15">
        <v>1.02</v>
      </c>
      <c r="H9" s="15">
        <f t="shared" si="1"/>
        <v>0.51</v>
      </c>
      <c r="I9" s="15">
        <v>32.700000000000003</v>
      </c>
      <c r="J9" s="15">
        <v>2.19</v>
      </c>
      <c r="K9" s="15">
        <f t="shared" si="2"/>
        <v>1.095</v>
      </c>
      <c r="L9" s="16">
        <v>30.5</v>
      </c>
      <c r="M9" s="17">
        <v>14.5</v>
      </c>
      <c r="N9" s="18">
        <f t="shared" si="3"/>
        <v>7.25</v>
      </c>
      <c r="O9" s="23">
        <v>1060</v>
      </c>
      <c r="P9" s="19">
        <v>319</v>
      </c>
      <c r="Q9" s="15">
        <f t="shared" si="4"/>
        <v>159.5</v>
      </c>
      <c r="R9" s="15">
        <v>12.1</v>
      </c>
      <c r="S9" s="15">
        <v>6.3</v>
      </c>
      <c r="T9" s="15">
        <f t="shared" si="5"/>
        <v>3.15</v>
      </c>
      <c r="U9" s="15">
        <v>41.5</v>
      </c>
      <c r="V9" s="15">
        <v>4.95</v>
      </c>
      <c r="W9" s="15">
        <f t="shared" si="7"/>
        <v>2.4750000000000001</v>
      </c>
      <c r="X9" s="15">
        <v>18</v>
      </c>
      <c r="Y9" s="16">
        <v>5.42</v>
      </c>
      <c r="Z9" s="16">
        <f t="shared" si="6"/>
        <v>2.71</v>
      </c>
      <c r="AB9" s="34">
        <v>12</v>
      </c>
      <c r="AC9" s="34">
        <v>30.3</v>
      </c>
      <c r="AD9" s="39">
        <v>5.31</v>
      </c>
      <c r="AE9" s="39">
        <v>27.6</v>
      </c>
      <c r="AF9" s="39">
        <v>15.2</v>
      </c>
    </row>
    <row r="10" spans="2:32" ht="15.75" x14ac:dyDescent="0.25">
      <c r="B10" s="6"/>
      <c r="C10" s="6"/>
      <c r="D10" s="6"/>
      <c r="E10" s="6"/>
      <c r="F10" s="6"/>
      <c r="G10" s="6"/>
      <c r="H10" s="6"/>
      <c r="I10" s="6"/>
      <c r="J10" s="6"/>
      <c r="K10" s="6"/>
      <c r="O10" s="14"/>
      <c r="P10" s="6"/>
      <c r="Q10" s="6"/>
      <c r="R10" s="6"/>
      <c r="S10" s="6"/>
      <c r="T10" s="6"/>
      <c r="U10" s="6"/>
      <c r="V10" s="6"/>
      <c r="W10" s="6"/>
      <c r="X10" s="6"/>
    </row>
    <row r="11" spans="2:32" ht="15.75" x14ac:dyDescent="0.25">
      <c r="B11" s="6"/>
      <c r="C11" s="6"/>
      <c r="D11" s="6"/>
      <c r="E11" s="6"/>
      <c r="F11" s="6"/>
      <c r="G11" s="6"/>
      <c r="H11" s="6"/>
      <c r="I11" s="6"/>
      <c r="J11" s="6"/>
      <c r="K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spans="2:32" ht="15.75" x14ac:dyDescent="0.25">
      <c r="B12" s="6"/>
      <c r="C12" s="6"/>
      <c r="D12" s="6"/>
      <c r="E12" s="6"/>
      <c r="F12" s="6"/>
      <c r="G12" s="6"/>
      <c r="H12" s="6"/>
      <c r="I12" s="6"/>
      <c r="J12" s="6"/>
      <c r="K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 spans="2:32" ht="15.75" x14ac:dyDescent="0.25">
      <c r="B13" s="6"/>
      <c r="C13" s="6"/>
      <c r="D13" s="6"/>
      <c r="E13" s="6"/>
      <c r="F13" s="6"/>
      <c r="G13" s="6"/>
      <c r="H13" s="6"/>
      <c r="I13" s="6"/>
      <c r="J13" s="6"/>
      <c r="K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 spans="2:32" ht="15.75" x14ac:dyDescent="0.25">
      <c r="B14" s="6"/>
      <c r="C14" s="6"/>
      <c r="D14" s="6"/>
      <c r="E14" s="6"/>
      <c r="F14" s="6"/>
      <c r="G14" s="6"/>
      <c r="H14" s="6"/>
      <c r="I14" s="6"/>
      <c r="J14" s="6"/>
      <c r="K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spans="2:32" ht="15.75" x14ac:dyDescent="0.25">
      <c r="B15" s="6"/>
      <c r="C15" s="6"/>
      <c r="D15" s="6"/>
      <c r="E15" s="6"/>
      <c r="F15" s="6"/>
      <c r="G15" s="6"/>
      <c r="H15" s="6"/>
      <c r="I15" s="6"/>
      <c r="J15" s="6"/>
      <c r="K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 spans="2:32" ht="15.75" x14ac:dyDescent="0.25">
      <c r="B16" s="6"/>
      <c r="C16" s="6"/>
      <c r="D16" s="6"/>
      <c r="E16" s="6"/>
      <c r="F16" s="6"/>
      <c r="G16" s="6"/>
      <c r="H16" s="6"/>
      <c r="I16" s="6"/>
      <c r="J16" s="6"/>
      <c r="K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 spans="2:32" ht="15.75" x14ac:dyDescent="0.25">
      <c r="B17" s="6"/>
      <c r="C17" s="6"/>
      <c r="D17" s="6"/>
      <c r="E17" s="6"/>
      <c r="F17" s="6"/>
      <c r="G17" s="6"/>
      <c r="H17" s="6"/>
      <c r="I17" s="6"/>
      <c r="J17" s="6"/>
      <c r="K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spans="2:32" ht="15.75" x14ac:dyDescent="0.25">
      <c r="B18" s="6"/>
      <c r="C18" s="6"/>
      <c r="D18" s="6"/>
      <c r="E18" s="6"/>
      <c r="F18" s="6"/>
      <c r="G18" s="6"/>
      <c r="H18" s="6"/>
      <c r="I18" s="6"/>
      <c r="J18" s="6"/>
      <c r="K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 spans="2:32" ht="15.75" x14ac:dyDescent="0.25">
      <c r="B19" s="6"/>
      <c r="C19" s="6"/>
      <c r="D19" s="6"/>
      <c r="E19" s="6"/>
      <c r="F19" s="6"/>
      <c r="G19" s="6"/>
      <c r="H19" s="6"/>
      <c r="I19" s="6"/>
      <c r="J19" s="6"/>
      <c r="K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 spans="2:32" ht="15.75" x14ac:dyDescent="0.25">
      <c r="B20" s="6"/>
      <c r="C20" s="6"/>
      <c r="D20" s="6"/>
      <c r="E20" s="6"/>
      <c r="F20" s="6"/>
      <c r="G20" s="6"/>
      <c r="H20" s="6"/>
      <c r="I20" s="6"/>
      <c r="J20" s="6"/>
      <c r="K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spans="2:32" ht="15.75" x14ac:dyDescent="0.25">
      <c r="B21" s="6"/>
      <c r="C21" s="6"/>
      <c r="D21" s="6"/>
      <c r="E21" s="6"/>
      <c r="F21" s="6"/>
      <c r="G21" s="6"/>
      <c r="H21" s="6"/>
      <c r="I21" s="6"/>
      <c r="J21" s="6"/>
      <c r="K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 spans="2:32" ht="15.75" x14ac:dyDescent="0.25">
      <c r="B22" s="6"/>
      <c r="C22" s="6"/>
      <c r="D22" s="6"/>
      <c r="E22" s="6"/>
      <c r="F22" s="6"/>
      <c r="G22" s="6"/>
      <c r="H22" s="6"/>
      <c r="I22" s="6"/>
      <c r="J22" s="6"/>
      <c r="K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6" spans="2:32" ht="15" customHeight="1" thickBot="1" x14ac:dyDescent="0.3">
      <c r="B26" s="59" t="s">
        <v>9</v>
      </c>
      <c r="C26" s="60"/>
      <c r="D26" s="2"/>
      <c r="E26" s="2"/>
      <c r="O26" s="2"/>
      <c r="P26" s="2"/>
      <c r="Q26" s="2"/>
      <c r="R26" s="2"/>
    </row>
    <row r="27" spans="2:32" ht="15.75" customHeight="1" thickBot="1" x14ac:dyDescent="0.3">
      <c r="B27" s="61"/>
      <c r="C27" s="62"/>
      <c r="D27" s="65" t="s">
        <v>45</v>
      </c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7" t="s">
        <v>46</v>
      </c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9"/>
    </row>
    <row r="28" spans="2:32" ht="65.25" customHeight="1" x14ac:dyDescent="0.25">
      <c r="B28" s="7" t="s">
        <v>2</v>
      </c>
      <c r="C28" s="7" t="s">
        <v>32</v>
      </c>
      <c r="D28" s="3" t="s">
        <v>3</v>
      </c>
      <c r="E28" s="3" t="s">
        <v>4</v>
      </c>
      <c r="F28" s="3" t="s">
        <v>20</v>
      </c>
      <c r="G28" s="3" t="s">
        <v>5</v>
      </c>
      <c r="H28" s="3" t="s">
        <v>6</v>
      </c>
      <c r="I28" s="3" t="s">
        <v>42</v>
      </c>
      <c r="J28" s="3" t="s">
        <v>5</v>
      </c>
      <c r="K28" s="3" t="s">
        <v>6</v>
      </c>
      <c r="L28" s="3" t="s">
        <v>44</v>
      </c>
      <c r="M28" s="8" t="s">
        <v>5</v>
      </c>
      <c r="N28" s="11" t="s">
        <v>6</v>
      </c>
      <c r="O28" s="10" t="s">
        <v>33</v>
      </c>
      <c r="P28" s="9" t="s">
        <v>7</v>
      </c>
      <c r="Q28" s="3" t="s">
        <v>8</v>
      </c>
      <c r="R28" s="3" t="s">
        <v>21</v>
      </c>
      <c r="S28" s="3" t="s">
        <v>5</v>
      </c>
      <c r="T28" s="3" t="s">
        <v>6</v>
      </c>
      <c r="U28" s="3" t="s">
        <v>43</v>
      </c>
      <c r="V28" s="3" t="s">
        <v>5</v>
      </c>
      <c r="W28" s="3" t="s">
        <v>6</v>
      </c>
      <c r="X28" s="3" t="s">
        <v>48</v>
      </c>
      <c r="Y28" s="3" t="s">
        <v>5</v>
      </c>
      <c r="Z28" s="3" t="s">
        <v>6</v>
      </c>
      <c r="AB28" s="34" t="s">
        <v>51</v>
      </c>
      <c r="AC28" s="37" t="s">
        <v>49</v>
      </c>
      <c r="AD28" s="37" t="s">
        <v>52</v>
      </c>
      <c r="AE28" s="37" t="s">
        <v>50</v>
      </c>
      <c r="AF28" s="34" t="s">
        <v>53</v>
      </c>
    </row>
    <row r="29" spans="2:32" ht="15.75" x14ac:dyDescent="0.25">
      <c r="B29" s="4">
        <v>0</v>
      </c>
      <c r="C29" s="15">
        <v>1460</v>
      </c>
      <c r="D29" s="15">
        <v>188</v>
      </c>
      <c r="E29" s="15">
        <f>D29/2</f>
        <v>94</v>
      </c>
      <c r="F29" s="15">
        <v>15</v>
      </c>
      <c r="G29" s="15">
        <v>1.98</v>
      </c>
      <c r="H29" s="15">
        <f>G29/2</f>
        <v>0.99</v>
      </c>
      <c r="I29" s="15">
        <v>49.5</v>
      </c>
      <c r="J29" s="15">
        <v>2.15</v>
      </c>
      <c r="K29" s="15">
        <f>J29/2</f>
        <v>1.075</v>
      </c>
      <c r="L29" s="16">
        <v>12.3</v>
      </c>
      <c r="M29" s="17">
        <v>3.62</v>
      </c>
      <c r="N29" s="18">
        <f>M29/2</f>
        <v>1.81</v>
      </c>
      <c r="O29" s="19">
        <v>1460</v>
      </c>
      <c r="P29" s="19">
        <v>188</v>
      </c>
      <c r="Q29" s="15">
        <f>P29/2</f>
        <v>94</v>
      </c>
      <c r="R29" s="16">
        <v>15</v>
      </c>
      <c r="S29" s="15">
        <v>1.98</v>
      </c>
      <c r="T29" s="15">
        <f>S29/2</f>
        <v>0.99</v>
      </c>
      <c r="U29" s="16">
        <v>49.5</v>
      </c>
      <c r="V29" s="15">
        <v>2.15</v>
      </c>
      <c r="W29" s="15">
        <f>V29/2</f>
        <v>1.075</v>
      </c>
      <c r="X29" s="16">
        <v>12.3</v>
      </c>
      <c r="Y29" s="16">
        <v>3.62</v>
      </c>
      <c r="Z29" s="16">
        <f>Y29/2</f>
        <v>1.81</v>
      </c>
      <c r="AB29" s="34">
        <v>0</v>
      </c>
      <c r="AC29" s="34"/>
      <c r="AD29" s="34"/>
      <c r="AE29" s="34"/>
      <c r="AF29" s="34"/>
    </row>
    <row r="30" spans="2:32" ht="15.75" x14ac:dyDescent="0.25">
      <c r="B30" s="4">
        <v>3</v>
      </c>
      <c r="C30" s="15">
        <v>710</v>
      </c>
      <c r="D30" s="15">
        <v>280</v>
      </c>
      <c r="E30" s="15">
        <f t="shared" ref="E30:E33" si="8">D30/2</f>
        <v>140</v>
      </c>
      <c r="F30" s="15">
        <v>16.600000000000001</v>
      </c>
      <c r="G30" s="15">
        <v>1.72</v>
      </c>
      <c r="H30" s="15">
        <f t="shared" ref="H30:H33" si="9">G30/2</f>
        <v>0.86</v>
      </c>
      <c r="I30" s="15">
        <v>46.2</v>
      </c>
      <c r="J30" s="15">
        <v>1.96</v>
      </c>
      <c r="K30" s="15">
        <f t="shared" ref="K30:K33" si="10">J30/2</f>
        <v>0.98</v>
      </c>
      <c r="L30" s="16">
        <v>42.1</v>
      </c>
      <c r="M30" s="17">
        <v>15.9</v>
      </c>
      <c r="N30" s="18">
        <f t="shared" ref="N30:N33" si="11">M30/2</f>
        <v>7.95</v>
      </c>
      <c r="O30" s="20">
        <v>830</v>
      </c>
      <c r="P30" s="21">
        <v>250</v>
      </c>
      <c r="Q30" s="15">
        <f t="shared" ref="Q30:Q33" si="12">P30/2</f>
        <v>125</v>
      </c>
      <c r="R30" s="15">
        <v>16</v>
      </c>
      <c r="S30" s="15">
        <v>1.17</v>
      </c>
      <c r="T30" s="15">
        <f>S30/2</f>
        <v>0.58499999999999996</v>
      </c>
      <c r="U30" s="15">
        <v>49.8</v>
      </c>
      <c r="V30" s="15">
        <v>0.53100000000000003</v>
      </c>
      <c r="W30" s="15">
        <f>V30/2</f>
        <v>0.26550000000000001</v>
      </c>
      <c r="X30" s="15">
        <v>30.4</v>
      </c>
      <c r="Y30" s="16">
        <v>12.9</v>
      </c>
      <c r="Z30" s="16">
        <f t="shared" ref="Z30:Z33" si="13">Y30/2</f>
        <v>6.45</v>
      </c>
      <c r="AB30" s="34">
        <v>3</v>
      </c>
      <c r="AC30" s="34"/>
      <c r="AD30" s="34"/>
      <c r="AE30" s="34"/>
      <c r="AF30" s="34"/>
    </row>
    <row r="31" spans="2:32" ht="15.75" x14ac:dyDescent="0.25">
      <c r="B31" s="5">
        <v>6</v>
      </c>
      <c r="C31" s="22">
        <v>1100</v>
      </c>
      <c r="D31" s="22">
        <v>272</v>
      </c>
      <c r="E31" s="15">
        <f t="shared" si="8"/>
        <v>136</v>
      </c>
      <c r="F31" s="22">
        <v>17.7</v>
      </c>
      <c r="G31" s="22">
        <v>12</v>
      </c>
      <c r="H31" s="15">
        <f t="shared" si="9"/>
        <v>6</v>
      </c>
      <c r="I31" s="22">
        <v>42</v>
      </c>
      <c r="J31" s="22">
        <v>1.7</v>
      </c>
      <c r="K31" s="15">
        <f t="shared" si="10"/>
        <v>0.85</v>
      </c>
      <c r="L31" s="16">
        <v>34.4</v>
      </c>
      <c r="M31" s="17">
        <v>8.76</v>
      </c>
      <c r="N31" s="18">
        <f t="shared" si="11"/>
        <v>4.38</v>
      </c>
      <c r="O31" s="23">
        <v>1070</v>
      </c>
      <c r="P31" s="23">
        <v>353</v>
      </c>
      <c r="Q31" s="15">
        <f t="shared" si="12"/>
        <v>176.5</v>
      </c>
      <c r="R31" s="22">
        <v>13</v>
      </c>
      <c r="S31" s="22">
        <v>8.1999999999999993</v>
      </c>
      <c r="T31" s="15">
        <f t="shared" ref="T31:T33" si="14">S31/2</f>
        <v>4.0999999999999996</v>
      </c>
      <c r="U31" s="22">
        <v>47</v>
      </c>
      <c r="V31" s="22">
        <v>4.71</v>
      </c>
      <c r="W31" s="15">
        <f t="shared" ref="W31:W33" si="15">V31/2</f>
        <v>2.355</v>
      </c>
      <c r="X31" s="22">
        <v>26</v>
      </c>
      <c r="Y31" s="16">
        <v>4.17</v>
      </c>
      <c r="Z31" s="16">
        <f t="shared" si="13"/>
        <v>2.085</v>
      </c>
      <c r="AB31" s="34">
        <v>6</v>
      </c>
      <c r="AC31" s="34"/>
      <c r="AD31" s="34"/>
      <c r="AE31" s="34">
        <v>26.3</v>
      </c>
      <c r="AF31" s="34">
        <v>13.9</v>
      </c>
    </row>
    <row r="32" spans="2:32" ht="15.75" x14ac:dyDescent="0.25">
      <c r="B32" s="4">
        <v>9</v>
      </c>
      <c r="C32" s="15">
        <v>1280</v>
      </c>
      <c r="D32" s="15">
        <v>74.8</v>
      </c>
      <c r="E32" s="15">
        <f t="shared" si="8"/>
        <v>37.4</v>
      </c>
      <c r="F32" s="15">
        <v>19.3</v>
      </c>
      <c r="G32" s="15">
        <v>2.74</v>
      </c>
      <c r="H32" s="15">
        <f t="shared" si="9"/>
        <v>1.37</v>
      </c>
      <c r="I32" s="15">
        <v>52.6</v>
      </c>
      <c r="J32" s="15">
        <v>1.65</v>
      </c>
      <c r="K32" s="15">
        <f t="shared" si="10"/>
        <v>0.82499999999999996</v>
      </c>
      <c r="L32" s="16">
        <v>24.1</v>
      </c>
      <c r="M32" s="17">
        <v>14</v>
      </c>
      <c r="N32" s="18">
        <f t="shared" si="11"/>
        <v>7</v>
      </c>
      <c r="O32" s="23">
        <v>1320</v>
      </c>
      <c r="P32" s="19">
        <v>94.6</v>
      </c>
      <c r="Q32" s="15">
        <f t="shared" si="12"/>
        <v>47.3</v>
      </c>
      <c r="R32" s="15">
        <v>15.5</v>
      </c>
      <c r="S32" s="15">
        <v>2.0499999999999998</v>
      </c>
      <c r="T32" s="15">
        <f t="shared" si="14"/>
        <v>1.0249999999999999</v>
      </c>
      <c r="U32" s="15">
        <v>46.4</v>
      </c>
      <c r="V32" s="15">
        <v>2.82</v>
      </c>
      <c r="W32" s="15">
        <f t="shared" si="15"/>
        <v>1.41</v>
      </c>
      <c r="X32" s="15">
        <v>35.799999999999997</v>
      </c>
      <c r="Y32" s="16">
        <v>18.8</v>
      </c>
      <c r="Z32" s="16">
        <f t="shared" si="13"/>
        <v>9.4</v>
      </c>
      <c r="AB32" s="34">
        <v>9</v>
      </c>
      <c r="AC32" s="34"/>
      <c r="AD32" s="34"/>
      <c r="AE32" s="34"/>
      <c r="AF32" s="34"/>
    </row>
    <row r="33" spans="2:32" ht="15.75" x14ac:dyDescent="0.25">
      <c r="B33" s="4">
        <v>12</v>
      </c>
      <c r="C33" s="15">
        <v>862</v>
      </c>
      <c r="D33" s="15">
        <v>163</v>
      </c>
      <c r="E33" s="15">
        <f t="shared" si="8"/>
        <v>81.5</v>
      </c>
      <c r="F33" s="15">
        <v>6</v>
      </c>
      <c r="G33" s="15">
        <v>0.85399999999999998</v>
      </c>
      <c r="H33" s="15">
        <f t="shared" si="9"/>
        <v>0.42699999999999999</v>
      </c>
      <c r="I33" s="15">
        <v>33.5</v>
      </c>
      <c r="J33" s="15">
        <v>2.19</v>
      </c>
      <c r="K33" s="15">
        <f t="shared" si="10"/>
        <v>1.095</v>
      </c>
      <c r="L33" s="16">
        <v>17.7</v>
      </c>
      <c r="M33" s="17">
        <v>10.4</v>
      </c>
      <c r="N33" s="18">
        <f t="shared" si="11"/>
        <v>5.2</v>
      </c>
      <c r="O33" s="23">
        <v>720</v>
      </c>
      <c r="P33" s="19">
        <v>171</v>
      </c>
      <c r="Q33" s="15">
        <f t="shared" si="12"/>
        <v>85.5</v>
      </c>
      <c r="R33" s="15">
        <v>4.5</v>
      </c>
      <c r="S33" s="15">
        <v>1.24</v>
      </c>
      <c r="T33" s="15">
        <f t="shared" si="14"/>
        <v>0.62</v>
      </c>
      <c r="U33" s="15">
        <v>39.299999999999997</v>
      </c>
      <c r="V33" s="15">
        <v>2.06</v>
      </c>
      <c r="W33" s="15">
        <f t="shared" si="15"/>
        <v>1.03</v>
      </c>
      <c r="X33" s="15">
        <v>18.5</v>
      </c>
      <c r="Y33" s="16">
        <v>9.0299999999999994</v>
      </c>
      <c r="Z33" s="16">
        <f t="shared" si="13"/>
        <v>4.5149999999999997</v>
      </c>
      <c r="AB33" s="34">
        <v>12</v>
      </c>
      <c r="AC33" s="34">
        <v>31</v>
      </c>
      <c r="AD33" s="34">
        <v>6.16</v>
      </c>
      <c r="AE33" s="34">
        <v>32.700000000000003</v>
      </c>
      <c r="AF33" s="34">
        <v>12.4</v>
      </c>
    </row>
    <row r="50" spans="2:32" ht="15" customHeight="1" thickBot="1" x14ac:dyDescent="0.3">
      <c r="B50" s="59" t="s">
        <v>10</v>
      </c>
      <c r="C50" s="60"/>
      <c r="D50" s="2"/>
      <c r="E50" s="2"/>
      <c r="O50" s="2"/>
      <c r="P50" s="2"/>
      <c r="Q50" s="2"/>
      <c r="R50" s="2"/>
    </row>
    <row r="51" spans="2:32" ht="15.75" customHeight="1" thickBot="1" x14ac:dyDescent="0.3">
      <c r="B51" s="61"/>
      <c r="C51" s="62"/>
      <c r="D51" s="70" t="s">
        <v>45</v>
      </c>
      <c r="E51" s="66"/>
      <c r="F51" s="66"/>
      <c r="G51" s="66"/>
      <c r="H51" s="66"/>
      <c r="I51" s="66"/>
      <c r="J51" s="66"/>
      <c r="K51" s="66"/>
      <c r="L51" s="66"/>
      <c r="M51" s="66"/>
      <c r="N51" s="71"/>
      <c r="O51" s="67" t="s">
        <v>46</v>
      </c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9"/>
    </row>
    <row r="52" spans="2:32" ht="93" customHeight="1" x14ac:dyDescent="0.25">
      <c r="B52" s="7" t="s">
        <v>2</v>
      </c>
      <c r="C52" s="7" t="s">
        <v>32</v>
      </c>
      <c r="D52" s="3" t="s">
        <v>3</v>
      </c>
      <c r="E52" s="3" t="s">
        <v>4</v>
      </c>
      <c r="F52" s="3" t="s">
        <v>20</v>
      </c>
      <c r="G52" s="3" t="s">
        <v>5</v>
      </c>
      <c r="H52" s="3" t="s">
        <v>6</v>
      </c>
      <c r="I52" s="3" t="s">
        <v>42</v>
      </c>
      <c r="J52" s="3" t="s">
        <v>5</v>
      </c>
      <c r="K52" s="3" t="s">
        <v>6</v>
      </c>
      <c r="L52" s="3" t="s">
        <v>44</v>
      </c>
      <c r="M52" s="8" t="s">
        <v>5</v>
      </c>
      <c r="N52" s="11" t="s">
        <v>6</v>
      </c>
      <c r="O52" s="10" t="s">
        <v>33</v>
      </c>
      <c r="P52" s="9" t="s">
        <v>7</v>
      </c>
      <c r="Q52" s="3" t="s">
        <v>8</v>
      </c>
      <c r="R52" s="3" t="s">
        <v>21</v>
      </c>
      <c r="S52" s="3" t="s">
        <v>5</v>
      </c>
      <c r="T52" s="3" t="s">
        <v>6</v>
      </c>
      <c r="U52" s="3" t="s">
        <v>43</v>
      </c>
      <c r="V52" s="3" t="s">
        <v>5</v>
      </c>
      <c r="W52" s="3" t="s">
        <v>6</v>
      </c>
      <c r="X52" s="3" t="s">
        <v>48</v>
      </c>
      <c r="Y52" s="3" t="s">
        <v>5</v>
      </c>
      <c r="Z52" s="3" t="s">
        <v>6</v>
      </c>
      <c r="AB52" s="34" t="s">
        <v>51</v>
      </c>
      <c r="AC52" s="37" t="s">
        <v>49</v>
      </c>
      <c r="AD52" s="37" t="s">
        <v>52</v>
      </c>
      <c r="AE52" s="37" t="s">
        <v>50</v>
      </c>
      <c r="AF52" s="34" t="s">
        <v>53</v>
      </c>
    </row>
    <row r="53" spans="2:32" ht="15.75" x14ac:dyDescent="0.25">
      <c r="B53" s="4">
        <v>0</v>
      </c>
      <c r="C53" s="15">
        <v>1460</v>
      </c>
      <c r="D53" s="15">
        <v>188</v>
      </c>
      <c r="E53" s="15">
        <f>D53/2</f>
        <v>94</v>
      </c>
      <c r="F53" s="15">
        <v>15</v>
      </c>
      <c r="G53" s="15">
        <v>1.98</v>
      </c>
      <c r="H53" s="15">
        <f>G53/2</f>
        <v>0.99</v>
      </c>
      <c r="I53" s="15">
        <v>49.5</v>
      </c>
      <c r="J53" s="15">
        <v>2.15</v>
      </c>
      <c r="K53" s="15">
        <f>J53/2</f>
        <v>1.075</v>
      </c>
      <c r="L53" s="16">
        <v>12.3</v>
      </c>
      <c r="M53" s="17">
        <v>3.62</v>
      </c>
      <c r="N53" s="18">
        <f>M53/2</f>
        <v>1.81</v>
      </c>
      <c r="O53" s="19">
        <v>1460</v>
      </c>
      <c r="P53" s="19">
        <v>188</v>
      </c>
      <c r="Q53" s="15">
        <f>P53/2</f>
        <v>94</v>
      </c>
      <c r="R53" s="16">
        <v>15</v>
      </c>
      <c r="S53" s="15">
        <v>1.98</v>
      </c>
      <c r="T53" s="15">
        <f>S53/2</f>
        <v>0.99</v>
      </c>
      <c r="U53" s="16">
        <v>49.5</v>
      </c>
      <c r="V53" s="15">
        <v>2.15</v>
      </c>
      <c r="W53" s="15">
        <f>V53/2</f>
        <v>1.075</v>
      </c>
      <c r="X53" s="16">
        <v>12.3</v>
      </c>
      <c r="Y53" s="16">
        <v>3.62</v>
      </c>
      <c r="Z53" s="16">
        <f>Y53/2</f>
        <v>1.81</v>
      </c>
      <c r="AB53" s="34">
        <v>0</v>
      </c>
      <c r="AC53" s="34"/>
      <c r="AD53" s="34"/>
      <c r="AE53" s="34"/>
      <c r="AF53" s="34"/>
    </row>
    <row r="54" spans="2:32" ht="15.75" x14ac:dyDescent="0.25">
      <c r="B54" s="4">
        <v>3</v>
      </c>
      <c r="C54" s="15">
        <v>1310</v>
      </c>
      <c r="D54" s="15">
        <v>141</v>
      </c>
      <c r="E54" s="15">
        <f t="shared" ref="E54" si="16">D54/2</f>
        <v>70.5</v>
      </c>
      <c r="F54" s="15">
        <v>15.8</v>
      </c>
      <c r="G54" s="15">
        <v>4.57</v>
      </c>
      <c r="H54" s="15">
        <f t="shared" ref="H54" si="17">G54/2</f>
        <v>2.2850000000000001</v>
      </c>
      <c r="I54" s="15">
        <v>47</v>
      </c>
      <c r="J54" s="15">
        <v>3.31</v>
      </c>
      <c r="K54" s="15">
        <f t="shared" ref="K54" si="18">J54/2</f>
        <v>1.655</v>
      </c>
      <c r="L54" s="16">
        <v>9.1</v>
      </c>
      <c r="M54" s="17">
        <v>0.99</v>
      </c>
      <c r="N54" s="18">
        <f t="shared" ref="N54" si="19">M54/2</f>
        <v>0.495</v>
      </c>
      <c r="O54" s="20">
        <v>815</v>
      </c>
      <c r="P54" s="21">
        <v>542</v>
      </c>
      <c r="Q54" s="15">
        <f t="shared" ref="Q54" si="20">P54/2</f>
        <v>271</v>
      </c>
      <c r="R54" s="15">
        <v>12.9</v>
      </c>
      <c r="S54" s="15">
        <v>2.5499999999999998</v>
      </c>
      <c r="T54" s="15">
        <f>S54/2</f>
        <v>1.2749999999999999</v>
      </c>
      <c r="U54" s="15">
        <v>39.6</v>
      </c>
      <c r="V54" s="15">
        <v>4.74</v>
      </c>
      <c r="W54" s="15">
        <f>V54/2</f>
        <v>2.37</v>
      </c>
      <c r="X54" s="15">
        <v>7.43</v>
      </c>
      <c r="Y54" s="16">
        <v>1.95</v>
      </c>
      <c r="Z54" s="16">
        <f t="shared" ref="Z54" si="21">Y54/2</f>
        <v>0.97499999999999998</v>
      </c>
      <c r="AB54" s="34">
        <v>3</v>
      </c>
      <c r="AC54" s="34"/>
      <c r="AD54" s="34"/>
      <c r="AE54" s="34"/>
      <c r="AF54" s="34"/>
    </row>
    <row r="55" spans="2:32" ht="15.75" x14ac:dyDescent="0.25">
      <c r="B55" s="5">
        <v>6</v>
      </c>
      <c r="C55" s="22" t="s">
        <v>17</v>
      </c>
      <c r="D55" s="22" t="s">
        <v>17</v>
      </c>
      <c r="E55" s="15" t="s">
        <v>17</v>
      </c>
      <c r="F55" s="22" t="s">
        <v>17</v>
      </c>
      <c r="G55" s="22" t="s">
        <v>17</v>
      </c>
      <c r="H55" s="15" t="s">
        <v>17</v>
      </c>
      <c r="I55" s="22" t="s">
        <v>17</v>
      </c>
      <c r="J55" s="22" t="s">
        <v>17</v>
      </c>
      <c r="K55" s="15" t="s">
        <v>17</v>
      </c>
      <c r="L55" s="16" t="s">
        <v>17</v>
      </c>
      <c r="M55" s="17" t="s">
        <v>17</v>
      </c>
      <c r="N55" s="18" t="s">
        <v>17</v>
      </c>
      <c r="O55" s="23" t="s">
        <v>17</v>
      </c>
      <c r="P55" s="23" t="s">
        <v>17</v>
      </c>
      <c r="Q55" s="15" t="s">
        <v>17</v>
      </c>
      <c r="R55" s="22" t="s">
        <v>17</v>
      </c>
      <c r="S55" s="22" t="s">
        <v>17</v>
      </c>
      <c r="T55" s="15" t="s">
        <v>17</v>
      </c>
      <c r="U55" s="22" t="s">
        <v>17</v>
      </c>
      <c r="V55" s="22" t="s">
        <v>17</v>
      </c>
      <c r="W55" s="15" t="s">
        <v>17</v>
      </c>
      <c r="X55" s="22" t="s">
        <v>17</v>
      </c>
      <c r="Y55" s="16" t="s">
        <v>17</v>
      </c>
      <c r="Z55" s="16" t="s">
        <v>17</v>
      </c>
      <c r="AB55" s="34">
        <v>6</v>
      </c>
      <c r="AC55" s="34"/>
      <c r="AD55" s="34"/>
      <c r="AE55" s="34"/>
      <c r="AF55" s="34"/>
    </row>
    <row r="56" spans="2:32" ht="15.75" x14ac:dyDescent="0.25">
      <c r="B56" s="4">
        <v>9</v>
      </c>
      <c r="C56" s="15" t="s">
        <v>17</v>
      </c>
      <c r="D56" s="15" t="s">
        <v>17</v>
      </c>
      <c r="E56" s="15" t="s">
        <v>17</v>
      </c>
      <c r="F56" s="15" t="s">
        <v>17</v>
      </c>
      <c r="G56" s="15" t="s">
        <v>17</v>
      </c>
      <c r="H56" s="15" t="s">
        <v>17</v>
      </c>
      <c r="I56" s="15" t="s">
        <v>17</v>
      </c>
      <c r="J56" s="15" t="s">
        <v>17</v>
      </c>
      <c r="K56" s="15" t="s">
        <v>17</v>
      </c>
      <c r="L56" s="16" t="s">
        <v>17</v>
      </c>
      <c r="M56" s="17" t="s">
        <v>17</v>
      </c>
      <c r="N56" s="18" t="s">
        <v>17</v>
      </c>
      <c r="O56" s="23" t="s">
        <v>17</v>
      </c>
      <c r="P56" s="19" t="s">
        <v>17</v>
      </c>
      <c r="Q56" s="15" t="s">
        <v>17</v>
      </c>
      <c r="R56" s="15" t="s">
        <v>17</v>
      </c>
      <c r="S56" s="15" t="s">
        <v>17</v>
      </c>
      <c r="T56" s="15" t="s">
        <v>17</v>
      </c>
      <c r="U56" s="15" t="s">
        <v>17</v>
      </c>
      <c r="V56" s="15" t="s">
        <v>17</v>
      </c>
      <c r="W56" s="15" t="s">
        <v>17</v>
      </c>
      <c r="X56" s="15" t="s">
        <v>17</v>
      </c>
      <c r="Y56" s="16" t="s">
        <v>17</v>
      </c>
      <c r="Z56" s="16" t="s">
        <v>17</v>
      </c>
      <c r="AB56" s="34">
        <v>9</v>
      </c>
      <c r="AC56" s="34"/>
      <c r="AD56" s="34"/>
      <c r="AE56" s="34"/>
      <c r="AF56" s="34"/>
    </row>
    <row r="57" spans="2:32" ht="15.75" x14ac:dyDescent="0.25">
      <c r="B57" s="4">
        <v>12</v>
      </c>
      <c r="C57" s="15" t="s">
        <v>17</v>
      </c>
      <c r="D57" s="15" t="s">
        <v>17</v>
      </c>
      <c r="E57" s="15" t="s">
        <v>17</v>
      </c>
      <c r="F57" s="15" t="s">
        <v>17</v>
      </c>
      <c r="G57" s="15" t="s">
        <v>17</v>
      </c>
      <c r="H57" s="15" t="s">
        <v>17</v>
      </c>
      <c r="I57" s="15" t="s">
        <v>17</v>
      </c>
      <c r="J57" s="15" t="s">
        <v>17</v>
      </c>
      <c r="K57" s="15" t="s">
        <v>17</v>
      </c>
      <c r="L57" s="16" t="s">
        <v>17</v>
      </c>
      <c r="M57" s="17" t="s">
        <v>17</v>
      </c>
      <c r="N57" s="18" t="s">
        <v>17</v>
      </c>
      <c r="O57" s="23" t="s">
        <v>17</v>
      </c>
      <c r="P57" s="19" t="s">
        <v>17</v>
      </c>
      <c r="Q57" s="15" t="s">
        <v>17</v>
      </c>
      <c r="R57" s="15" t="s">
        <v>17</v>
      </c>
      <c r="S57" s="15" t="s">
        <v>17</v>
      </c>
      <c r="T57" s="15" t="s">
        <v>17</v>
      </c>
      <c r="U57" s="15" t="s">
        <v>17</v>
      </c>
      <c r="V57" s="15" t="s">
        <v>17</v>
      </c>
      <c r="W57" s="15" t="s">
        <v>17</v>
      </c>
      <c r="X57" s="15" t="s">
        <v>17</v>
      </c>
      <c r="Y57" s="16" t="s">
        <v>17</v>
      </c>
      <c r="Z57" s="16" t="s">
        <v>17</v>
      </c>
      <c r="AB57" s="34">
        <v>12</v>
      </c>
      <c r="AC57" s="34"/>
      <c r="AD57" s="34"/>
      <c r="AE57" s="34"/>
      <c r="AF57" s="34"/>
    </row>
    <row r="93" spans="4:43" x14ac:dyDescent="0.25"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AJ93" s="54"/>
      <c r="AK93" s="54"/>
    </row>
    <row r="94" spans="4:43" x14ac:dyDescent="0.25"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W94" s="40"/>
      <c r="X94" s="40"/>
      <c r="AJ94" s="54"/>
      <c r="AK94" s="54"/>
      <c r="AL94" s="41"/>
      <c r="AM94" s="41"/>
      <c r="AN94" s="41"/>
      <c r="AO94" s="41"/>
      <c r="AP94" s="41"/>
      <c r="AQ94" s="41"/>
    </row>
    <row r="95" spans="4:43" x14ac:dyDescent="0.25"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W95" s="40"/>
      <c r="X95" s="40"/>
      <c r="AJ95" s="54"/>
      <c r="AK95" s="54"/>
      <c r="AL95" s="41"/>
      <c r="AM95" s="41"/>
      <c r="AN95" s="41"/>
      <c r="AO95" s="41"/>
      <c r="AP95" s="41"/>
      <c r="AQ95" s="41"/>
    </row>
    <row r="96" spans="4:43" x14ac:dyDescent="0.25"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W96" s="40"/>
      <c r="X96" s="40"/>
      <c r="AJ96" s="54"/>
      <c r="AK96" s="54"/>
      <c r="AL96" s="41"/>
      <c r="AM96" s="41"/>
      <c r="AN96" s="41"/>
      <c r="AO96" s="41"/>
      <c r="AP96" s="41"/>
      <c r="AQ96" s="41"/>
    </row>
    <row r="97" spans="4:43" x14ac:dyDescent="0.25"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W97" s="40"/>
      <c r="X97" s="40"/>
      <c r="AJ97" s="54"/>
      <c r="AK97" s="54"/>
      <c r="AL97" s="41"/>
      <c r="AM97" s="41"/>
      <c r="AN97" s="41"/>
      <c r="AO97" s="41"/>
      <c r="AP97" s="41"/>
      <c r="AQ97" s="41"/>
    </row>
    <row r="98" spans="4:43" x14ac:dyDescent="0.25"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W98" s="40"/>
      <c r="X98" s="40"/>
      <c r="AJ98" s="54"/>
      <c r="AK98" s="54"/>
      <c r="AL98" s="41"/>
      <c r="AM98" s="41"/>
      <c r="AN98" s="41"/>
      <c r="AO98" s="41"/>
      <c r="AP98" s="41"/>
      <c r="AQ98" s="41"/>
    </row>
    <row r="99" spans="4:43" x14ac:dyDescent="0.25"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W99" s="40"/>
      <c r="X99" s="40"/>
      <c r="AJ99" s="54"/>
      <c r="AK99" s="54"/>
      <c r="AL99" s="41"/>
      <c r="AM99" s="41"/>
      <c r="AN99" s="41"/>
      <c r="AO99" s="41"/>
      <c r="AP99" s="41"/>
      <c r="AQ99" s="41"/>
    </row>
    <row r="100" spans="4:43" x14ac:dyDescent="0.25"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AJ100" s="42"/>
      <c r="AK100" s="42"/>
      <c r="AL100" s="41"/>
      <c r="AM100" s="41"/>
      <c r="AN100" s="41"/>
      <c r="AO100" s="41"/>
      <c r="AP100" s="41"/>
      <c r="AQ100" s="41"/>
    </row>
    <row r="101" spans="4:43" x14ac:dyDescent="0.25"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AJ101" s="41"/>
      <c r="AK101" s="41"/>
      <c r="AL101" s="41"/>
      <c r="AM101" s="41"/>
      <c r="AN101" s="41"/>
      <c r="AO101" s="41"/>
      <c r="AP101" s="41"/>
      <c r="AQ101" s="41"/>
    </row>
    <row r="102" spans="4:43" x14ac:dyDescent="0.25"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AJ102" s="41"/>
      <c r="AK102" s="41"/>
      <c r="AL102" s="41"/>
      <c r="AM102" s="41"/>
      <c r="AN102" s="41"/>
      <c r="AO102" s="41"/>
      <c r="AP102" s="41"/>
      <c r="AQ102" s="41"/>
    </row>
    <row r="103" spans="4:43" x14ac:dyDescent="0.25"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AJ103" s="41"/>
      <c r="AK103" s="41"/>
      <c r="AL103" s="41"/>
      <c r="AM103" s="41"/>
      <c r="AN103" s="41"/>
      <c r="AO103" s="41"/>
      <c r="AP103" s="41"/>
      <c r="AQ103" s="41"/>
    </row>
    <row r="104" spans="4:43" x14ac:dyDescent="0.25"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AJ104" s="41"/>
      <c r="AK104" s="41"/>
      <c r="AL104" s="41"/>
      <c r="AM104" s="41"/>
      <c r="AN104" s="41"/>
      <c r="AO104" s="41"/>
      <c r="AP104" s="41"/>
      <c r="AQ104" s="41"/>
    </row>
    <row r="105" spans="4:43" x14ac:dyDescent="0.25"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AJ105" s="41"/>
      <c r="AK105" s="41"/>
      <c r="AL105" s="41"/>
      <c r="AM105" s="41"/>
      <c r="AN105" s="41"/>
      <c r="AO105" s="41"/>
      <c r="AP105" s="41"/>
      <c r="AQ105" s="41"/>
    </row>
    <row r="106" spans="4:43" x14ac:dyDescent="0.25"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AJ106" s="41"/>
      <c r="AK106" s="41"/>
      <c r="AL106" s="41"/>
      <c r="AM106" s="41"/>
      <c r="AN106" s="41"/>
      <c r="AO106" s="41"/>
      <c r="AP106" s="41"/>
      <c r="AQ106" s="41"/>
    </row>
    <row r="107" spans="4:43" x14ac:dyDescent="0.25"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AJ107" s="41"/>
      <c r="AK107" s="41"/>
      <c r="AL107" s="41"/>
      <c r="AM107" s="41"/>
      <c r="AN107" s="41"/>
      <c r="AO107" s="41"/>
      <c r="AP107" s="41"/>
      <c r="AQ107" s="41"/>
    </row>
    <row r="108" spans="4:43" x14ac:dyDescent="0.25">
      <c r="AJ108" s="41"/>
      <c r="AK108" s="41"/>
      <c r="AL108" s="41"/>
      <c r="AM108" s="41"/>
      <c r="AN108" s="41"/>
      <c r="AO108" s="41"/>
      <c r="AP108" s="41"/>
      <c r="AQ108" s="41"/>
    </row>
    <row r="109" spans="4:43" x14ac:dyDescent="0.25">
      <c r="AJ109" s="41"/>
      <c r="AK109" s="41"/>
      <c r="AL109" s="41"/>
      <c r="AM109" s="41"/>
      <c r="AN109" s="41"/>
      <c r="AO109" s="41"/>
      <c r="AP109" s="41"/>
      <c r="AQ109" s="41"/>
    </row>
    <row r="110" spans="4:43" x14ac:dyDescent="0.25">
      <c r="AJ110" s="41"/>
      <c r="AK110" s="41"/>
      <c r="AL110" s="41"/>
      <c r="AM110" s="41"/>
      <c r="AN110" s="41"/>
      <c r="AO110" s="41"/>
      <c r="AP110" s="41"/>
      <c r="AQ110" s="41"/>
    </row>
    <row r="111" spans="4:43" x14ac:dyDescent="0.25">
      <c r="AJ111" s="41"/>
      <c r="AK111" s="41"/>
      <c r="AL111" s="41"/>
      <c r="AM111" s="41"/>
      <c r="AN111" s="41"/>
      <c r="AO111" s="41"/>
      <c r="AP111" s="41"/>
      <c r="AQ111" s="41"/>
    </row>
    <row r="112" spans="4:43" x14ac:dyDescent="0.25">
      <c r="AJ112" s="41"/>
      <c r="AK112" s="41"/>
      <c r="AL112" s="41"/>
      <c r="AM112" s="41"/>
      <c r="AN112" s="41"/>
      <c r="AO112" s="41"/>
      <c r="AP112" s="41"/>
      <c r="AQ112" s="41"/>
    </row>
    <row r="113" spans="36:43" x14ac:dyDescent="0.25">
      <c r="AJ113" s="41"/>
      <c r="AK113" s="41"/>
      <c r="AL113" s="41"/>
      <c r="AM113" s="41"/>
      <c r="AN113" s="41"/>
      <c r="AO113" s="41"/>
      <c r="AP113" s="41"/>
      <c r="AQ113" s="41"/>
    </row>
    <row r="114" spans="36:43" x14ac:dyDescent="0.25">
      <c r="AJ114" s="41"/>
      <c r="AK114" s="41"/>
      <c r="AL114" s="41"/>
      <c r="AM114" s="41"/>
      <c r="AN114" s="41"/>
      <c r="AO114" s="41"/>
      <c r="AP114" s="41"/>
      <c r="AQ114" s="41"/>
    </row>
    <row r="115" spans="36:43" x14ac:dyDescent="0.25">
      <c r="AJ115" s="41"/>
      <c r="AK115" s="41"/>
      <c r="AL115" s="41"/>
      <c r="AM115" s="41"/>
      <c r="AN115" s="41"/>
      <c r="AO115" s="41"/>
      <c r="AP115" s="41"/>
      <c r="AQ115" s="41"/>
    </row>
    <row r="116" spans="36:43" x14ac:dyDescent="0.25">
      <c r="AJ116" s="41"/>
      <c r="AK116" s="41"/>
      <c r="AL116" s="41"/>
      <c r="AM116" s="41"/>
      <c r="AN116" s="41"/>
      <c r="AO116" s="41"/>
      <c r="AP116" s="41"/>
      <c r="AQ116" s="41"/>
    </row>
    <row r="117" spans="36:43" x14ac:dyDescent="0.25">
      <c r="AJ117" s="41"/>
      <c r="AK117" s="41"/>
      <c r="AL117" s="41"/>
      <c r="AM117" s="41"/>
      <c r="AN117" s="41"/>
      <c r="AO117" s="41"/>
      <c r="AP117" s="41"/>
      <c r="AQ117" s="41"/>
    </row>
  </sheetData>
  <mergeCells count="10">
    <mergeCell ref="O3:Z3"/>
    <mergeCell ref="D27:N27"/>
    <mergeCell ref="O27:Z27"/>
    <mergeCell ref="D51:N51"/>
    <mergeCell ref="O51:Z51"/>
    <mergeCell ref="B2:C3"/>
    <mergeCell ref="B26:C27"/>
    <mergeCell ref="B50:C51"/>
    <mergeCell ref="D2:J2"/>
    <mergeCell ref="D3:N3"/>
  </mergeCells>
  <printOptions horizontalCentered="1" verticalCentered="1"/>
  <pageMargins left="0" right="0" top="0" bottom="0" header="0" footer="0"/>
  <pageSetup paperSize="9" scale="39" fitToWidth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22CA0-DF22-4422-8312-E5F820FE9B79}">
  <sheetPr>
    <pageSetUpPr fitToPage="1"/>
  </sheetPr>
  <dimension ref="A1:AE56"/>
  <sheetViews>
    <sheetView topLeftCell="H1" zoomScale="85" zoomScaleNormal="85" workbookViewId="0">
      <selection activeCell="AG3" sqref="AG3"/>
    </sheetView>
  </sheetViews>
  <sheetFormatPr baseColWidth="10" defaultColWidth="9.140625" defaultRowHeight="15" x14ac:dyDescent="0.25"/>
  <cols>
    <col min="1" max="1" width="9.28515625" style="12" bestFit="1" customWidth="1"/>
    <col min="2" max="2" width="12.85546875" style="12" bestFit="1" customWidth="1"/>
    <col min="3" max="3" width="9.28515625" style="12" bestFit="1" customWidth="1"/>
    <col min="4" max="4" width="8.42578125" style="12" bestFit="1" customWidth="1"/>
    <col min="5" max="5" width="16.28515625" style="12" customWidth="1"/>
    <col min="6" max="7" width="9.28515625" style="12" bestFit="1" customWidth="1"/>
    <col min="8" max="8" width="15.140625" style="12" customWidth="1"/>
    <col min="9" max="10" width="9.28515625" style="12" bestFit="1" customWidth="1"/>
    <col min="11" max="11" width="11.7109375" style="12" customWidth="1"/>
    <col min="12" max="13" width="9.28515625" style="12" bestFit="1" customWidth="1"/>
    <col min="14" max="14" width="13.7109375" style="12" customWidth="1"/>
    <col min="15" max="16" width="9.28515625" style="12" bestFit="1" customWidth="1"/>
    <col min="17" max="17" width="15.7109375" style="12" customWidth="1"/>
    <col min="18" max="19" width="9.28515625" style="12" bestFit="1" customWidth="1"/>
    <col min="20" max="20" width="15.42578125" style="12" customWidth="1"/>
    <col min="21" max="22" width="9.28515625" style="12" bestFit="1" customWidth="1"/>
    <col min="23" max="23" width="12.28515625" style="12" customWidth="1"/>
    <col min="24" max="25" width="9.28515625" style="12" bestFit="1" customWidth="1"/>
    <col min="26" max="26" width="9.28515625" style="12" customWidth="1"/>
    <col min="27" max="27" width="9.140625" style="12"/>
    <col min="28" max="28" width="20" style="12" customWidth="1"/>
    <col min="29" max="29" width="11.140625" style="12" customWidth="1"/>
    <col min="30" max="30" width="18.5703125" style="12" customWidth="1"/>
    <col min="31" max="16384" width="9.140625" style="12"/>
  </cols>
  <sheetData>
    <row r="1" spans="1:31" ht="30.75" customHeight="1" thickBot="1" x14ac:dyDescent="0.3">
      <c r="A1" s="59" t="s">
        <v>11</v>
      </c>
      <c r="B1" s="60"/>
      <c r="C1" s="1"/>
      <c r="D1" s="1"/>
      <c r="E1" s="1"/>
      <c r="F1" s="1"/>
      <c r="G1" s="1"/>
      <c r="H1" s="1"/>
    </row>
    <row r="2" spans="1:31" ht="15.75" thickBot="1" x14ac:dyDescent="0.3">
      <c r="A2" s="61"/>
      <c r="B2" s="62"/>
      <c r="C2" s="65" t="s">
        <v>45</v>
      </c>
      <c r="D2" s="66"/>
      <c r="E2" s="66"/>
      <c r="F2" s="66"/>
      <c r="G2" s="66"/>
      <c r="H2" s="66"/>
      <c r="I2" s="66"/>
      <c r="J2" s="66"/>
      <c r="K2" s="66"/>
      <c r="L2" s="66"/>
      <c r="M2" s="66"/>
      <c r="N2" s="67" t="s">
        <v>46</v>
      </c>
      <c r="O2" s="68"/>
      <c r="P2" s="68"/>
      <c r="Q2" s="68"/>
      <c r="R2" s="68"/>
      <c r="S2" s="68"/>
      <c r="T2" s="68"/>
      <c r="U2" s="68"/>
      <c r="V2" s="68"/>
      <c r="W2" s="68"/>
      <c r="X2" s="68"/>
      <c r="Y2" s="69"/>
    </row>
    <row r="3" spans="1:31" ht="63" x14ac:dyDescent="0.25">
      <c r="A3" s="7" t="s">
        <v>2</v>
      </c>
      <c r="B3" s="7" t="s">
        <v>32</v>
      </c>
      <c r="C3" s="3" t="s">
        <v>3</v>
      </c>
      <c r="D3" s="3" t="s">
        <v>4</v>
      </c>
      <c r="E3" s="3" t="s">
        <v>20</v>
      </c>
      <c r="F3" s="3" t="s">
        <v>5</v>
      </c>
      <c r="G3" s="3" t="s">
        <v>6</v>
      </c>
      <c r="H3" s="3" t="s">
        <v>42</v>
      </c>
      <c r="I3" s="3" t="s">
        <v>5</v>
      </c>
      <c r="J3" s="3" t="s">
        <v>6</v>
      </c>
      <c r="K3" s="3" t="s">
        <v>44</v>
      </c>
      <c r="L3" s="8" t="s">
        <v>5</v>
      </c>
      <c r="M3" s="11" t="s">
        <v>6</v>
      </c>
      <c r="N3" s="10" t="s">
        <v>33</v>
      </c>
      <c r="O3" s="9" t="s">
        <v>7</v>
      </c>
      <c r="P3" s="3" t="s">
        <v>8</v>
      </c>
      <c r="Q3" s="3" t="s">
        <v>21</v>
      </c>
      <c r="R3" s="3" t="s">
        <v>5</v>
      </c>
      <c r="S3" s="3" t="s">
        <v>6</v>
      </c>
      <c r="T3" s="3" t="s">
        <v>43</v>
      </c>
      <c r="U3" s="3" t="s">
        <v>5</v>
      </c>
      <c r="V3" s="3" t="s">
        <v>6</v>
      </c>
      <c r="W3" s="3" t="s">
        <v>48</v>
      </c>
      <c r="X3" s="3" t="s">
        <v>5</v>
      </c>
      <c r="Y3" s="3" t="s">
        <v>6</v>
      </c>
      <c r="Z3" s="6"/>
      <c r="AA3" s="34" t="s">
        <v>51</v>
      </c>
      <c r="AB3" s="37" t="s">
        <v>49</v>
      </c>
      <c r="AC3" s="37" t="s">
        <v>52</v>
      </c>
      <c r="AD3" s="37" t="s">
        <v>50</v>
      </c>
      <c r="AE3" s="34" t="s">
        <v>53</v>
      </c>
    </row>
    <row r="4" spans="1:31" ht="15.75" x14ac:dyDescent="0.25">
      <c r="A4" s="4">
        <v>0</v>
      </c>
      <c r="B4" s="25">
        <v>862</v>
      </c>
      <c r="C4" s="25">
        <v>14.9</v>
      </c>
      <c r="D4" s="25">
        <f>C4/2</f>
        <v>7.45</v>
      </c>
      <c r="E4" s="25">
        <v>16.3</v>
      </c>
      <c r="F4" s="25">
        <v>1.03</v>
      </c>
      <c r="G4" s="25">
        <f>F4/2</f>
        <v>0.51500000000000001</v>
      </c>
      <c r="H4" s="25">
        <v>43</v>
      </c>
      <c r="I4" s="25">
        <v>0.63500000000000001</v>
      </c>
      <c r="J4" s="25">
        <f>I4/2</f>
        <v>0.3175</v>
      </c>
      <c r="K4" s="26">
        <v>11.2</v>
      </c>
      <c r="L4" s="31">
        <v>0.17199999999999999</v>
      </c>
      <c r="M4" s="32">
        <f>L4/2</f>
        <v>8.5999999999999993E-2</v>
      </c>
      <c r="N4" s="24">
        <v>862</v>
      </c>
      <c r="O4" s="24">
        <v>14.9</v>
      </c>
      <c r="P4" s="25">
        <f>O4/2</f>
        <v>7.45</v>
      </c>
      <c r="Q4" s="26">
        <v>16.3</v>
      </c>
      <c r="R4" s="25">
        <v>1.03</v>
      </c>
      <c r="S4" s="25">
        <f>R4/2</f>
        <v>0.51500000000000001</v>
      </c>
      <c r="T4" s="26">
        <v>43</v>
      </c>
      <c r="U4" s="25">
        <v>0.63500000000000001</v>
      </c>
      <c r="V4" s="25">
        <f>U4/2</f>
        <v>0.3175</v>
      </c>
      <c r="W4" s="26">
        <v>11.2</v>
      </c>
      <c r="X4" s="26">
        <v>0.17199999999999999</v>
      </c>
      <c r="Y4" s="26">
        <f>X4/2</f>
        <v>8.5999999999999993E-2</v>
      </c>
      <c r="Z4" s="38"/>
      <c r="AA4" s="12">
        <v>0</v>
      </c>
    </row>
    <row r="5" spans="1:31" ht="15.75" x14ac:dyDescent="0.25">
      <c r="A5" s="4">
        <v>3</v>
      </c>
      <c r="B5" s="25">
        <v>771</v>
      </c>
      <c r="C5" s="25">
        <v>11.5</v>
      </c>
      <c r="D5" s="25">
        <f t="shared" ref="D5:D8" si="0">C5/2</f>
        <v>5.75</v>
      </c>
      <c r="E5" s="25">
        <v>16.5</v>
      </c>
      <c r="F5" s="25">
        <v>2.0299999999999998</v>
      </c>
      <c r="G5" s="25">
        <f t="shared" ref="G5:G8" si="1">F5/2</f>
        <v>1.0149999999999999</v>
      </c>
      <c r="H5" s="25">
        <v>46.1</v>
      </c>
      <c r="I5" s="25">
        <v>1.64</v>
      </c>
      <c r="J5" s="25">
        <f t="shared" ref="J5:J8" si="2">I5/2</f>
        <v>0.82</v>
      </c>
      <c r="K5" s="26">
        <v>16.8</v>
      </c>
      <c r="L5" s="31">
        <v>10.8</v>
      </c>
      <c r="M5" s="32">
        <f t="shared" ref="M5:M8" si="3">L5/2</f>
        <v>5.4</v>
      </c>
      <c r="N5" s="27">
        <v>645</v>
      </c>
      <c r="O5" s="28">
        <v>126</v>
      </c>
      <c r="P5" s="25">
        <f t="shared" ref="P5:P8" si="4">O5/2</f>
        <v>63</v>
      </c>
      <c r="Q5" s="25">
        <v>14.4</v>
      </c>
      <c r="R5" s="25">
        <v>3.08</v>
      </c>
      <c r="S5" s="25">
        <f>R5/2</f>
        <v>1.54</v>
      </c>
      <c r="T5" s="25">
        <v>48</v>
      </c>
      <c r="U5" s="25">
        <v>1.0900000000000001</v>
      </c>
      <c r="V5" s="25">
        <f>U5/2</f>
        <v>0.54500000000000004</v>
      </c>
      <c r="W5" s="25">
        <v>13.3</v>
      </c>
      <c r="X5" s="26">
        <v>0.59</v>
      </c>
      <c r="Y5" s="26">
        <f t="shared" ref="Y5:Y8" si="5">X5/2</f>
        <v>0.29499999999999998</v>
      </c>
      <c r="Z5" s="38"/>
      <c r="AA5" s="12">
        <v>3</v>
      </c>
    </row>
    <row r="6" spans="1:31" ht="15.75" x14ac:dyDescent="0.25">
      <c r="A6" s="5">
        <v>6</v>
      </c>
      <c r="B6" s="30">
        <v>895</v>
      </c>
      <c r="C6" s="30">
        <v>123</v>
      </c>
      <c r="D6" s="25">
        <f t="shared" si="0"/>
        <v>61.5</v>
      </c>
      <c r="E6" s="30">
        <v>13.7</v>
      </c>
      <c r="F6" s="30">
        <v>3.47</v>
      </c>
      <c r="G6" s="25">
        <f t="shared" si="1"/>
        <v>1.7350000000000001</v>
      </c>
      <c r="H6" s="30">
        <v>44.2</v>
      </c>
      <c r="I6" s="30">
        <v>4.05</v>
      </c>
      <c r="J6" s="25">
        <f t="shared" si="2"/>
        <v>2.0249999999999999</v>
      </c>
      <c r="K6" s="26">
        <v>43.1</v>
      </c>
      <c r="L6" s="31">
        <v>47.1</v>
      </c>
      <c r="M6" s="32">
        <f t="shared" si="3"/>
        <v>23.55</v>
      </c>
      <c r="N6" s="29">
        <v>820</v>
      </c>
      <c r="O6" s="29">
        <v>7.92</v>
      </c>
      <c r="P6" s="25">
        <f t="shared" si="4"/>
        <v>3.96</v>
      </c>
      <c r="Q6" s="30">
        <v>15.3</v>
      </c>
      <c r="R6" s="30">
        <v>2.0699999999999998</v>
      </c>
      <c r="S6" s="25">
        <f t="shared" ref="S6:S8" si="6">R6/2</f>
        <v>1.0349999999999999</v>
      </c>
      <c r="T6" s="30">
        <v>46.6</v>
      </c>
      <c r="U6" s="30">
        <v>2.2999999999999998</v>
      </c>
      <c r="V6" s="25">
        <f t="shared" ref="V6:V8" si="7">U6/2</f>
        <v>1.1499999999999999</v>
      </c>
      <c r="W6" s="30">
        <v>11.9</v>
      </c>
      <c r="X6" s="26">
        <v>0.84299999999999997</v>
      </c>
      <c r="Y6" s="26">
        <f t="shared" si="5"/>
        <v>0.42149999999999999</v>
      </c>
      <c r="Z6" s="38"/>
      <c r="AA6" s="12">
        <v>6</v>
      </c>
    </row>
    <row r="7" spans="1:31" ht="15.75" x14ac:dyDescent="0.25">
      <c r="A7" s="4">
        <v>9</v>
      </c>
      <c r="B7" s="25">
        <v>827</v>
      </c>
      <c r="C7" s="25">
        <v>24.7</v>
      </c>
      <c r="D7" s="25">
        <f t="shared" si="0"/>
        <v>12.35</v>
      </c>
      <c r="E7" s="25">
        <v>16.600000000000001</v>
      </c>
      <c r="F7" s="25">
        <v>0.54300000000000004</v>
      </c>
      <c r="G7" s="25">
        <f t="shared" si="1"/>
        <v>0.27150000000000002</v>
      </c>
      <c r="H7" s="25">
        <v>47.5</v>
      </c>
      <c r="I7" s="25">
        <v>2.57</v>
      </c>
      <c r="J7" s="25">
        <f t="shared" si="2"/>
        <v>1.2849999999999999</v>
      </c>
      <c r="K7" s="26">
        <v>12.7</v>
      </c>
      <c r="L7" s="31">
        <v>0.89300000000000002</v>
      </c>
      <c r="M7" s="32">
        <f t="shared" si="3"/>
        <v>0.44650000000000001</v>
      </c>
      <c r="N7" s="29">
        <v>863</v>
      </c>
      <c r="O7" s="24">
        <v>21.7</v>
      </c>
      <c r="P7" s="25">
        <f t="shared" si="4"/>
        <v>10.85</v>
      </c>
      <c r="Q7" s="25">
        <v>16.7</v>
      </c>
      <c r="R7" s="25">
        <v>0.52700000000000002</v>
      </c>
      <c r="S7" s="25">
        <f t="shared" si="6"/>
        <v>0.26350000000000001</v>
      </c>
      <c r="T7" s="25">
        <v>47.5</v>
      </c>
      <c r="U7" s="25">
        <v>1.6</v>
      </c>
      <c r="V7" s="25">
        <f t="shared" si="7"/>
        <v>0.8</v>
      </c>
      <c r="W7" s="25">
        <v>12.4</v>
      </c>
      <c r="X7" s="26">
        <v>0.63800000000000001</v>
      </c>
      <c r="Y7" s="26">
        <f t="shared" si="5"/>
        <v>0.31900000000000001</v>
      </c>
      <c r="Z7" s="38"/>
      <c r="AA7" s="12">
        <v>9</v>
      </c>
    </row>
    <row r="8" spans="1:31" ht="15.75" x14ac:dyDescent="0.25">
      <c r="A8" s="4">
        <v>12</v>
      </c>
      <c r="B8" s="25">
        <v>485</v>
      </c>
      <c r="C8" s="25">
        <v>35.5</v>
      </c>
      <c r="D8" s="25">
        <f t="shared" si="0"/>
        <v>17.75</v>
      </c>
      <c r="E8" s="25">
        <v>6.12</v>
      </c>
      <c r="F8" s="25">
        <v>0.29399999999999998</v>
      </c>
      <c r="G8" s="25">
        <f t="shared" si="1"/>
        <v>0.14699999999999999</v>
      </c>
      <c r="H8" s="25">
        <v>37.299999999999997</v>
      </c>
      <c r="I8" s="25">
        <v>0.55900000000000005</v>
      </c>
      <c r="J8" s="25">
        <f t="shared" si="2"/>
        <v>0.27950000000000003</v>
      </c>
      <c r="K8" s="26">
        <v>21.9</v>
      </c>
      <c r="L8" s="31">
        <v>29</v>
      </c>
      <c r="M8" s="32">
        <f t="shared" si="3"/>
        <v>14.5</v>
      </c>
      <c r="N8" s="29">
        <v>511</v>
      </c>
      <c r="O8" s="24">
        <v>33.5</v>
      </c>
      <c r="P8" s="25">
        <f t="shared" si="4"/>
        <v>16.75</v>
      </c>
      <c r="Q8" s="25">
        <v>6.95</v>
      </c>
      <c r="R8" s="25">
        <v>0.68</v>
      </c>
      <c r="S8" s="25">
        <f t="shared" si="6"/>
        <v>0.34</v>
      </c>
      <c r="T8" s="25">
        <v>38.200000000000003</v>
      </c>
      <c r="U8" s="25">
        <v>1.42</v>
      </c>
      <c r="V8" s="25">
        <f t="shared" si="7"/>
        <v>0.71</v>
      </c>
      <c r="W8" s="25">
        <v>8.69</v>
      </c>
      <c r="X8" s="26">
        <v>1.01</v>
      </c>
      <c r="Y8" s="26">
        <f t="shared" si="5"/>
        <v>0.505</v>
      </c>
      <c r="Z8" s="38"/>
      <c r="AA8" s="12">
        <v>12</v>
      </c>
      <c r="AB8" s="12">
        <v>37.9</v>
      </c>
      <c r="AC8" s="12">
        <v>1.0900000000000001</v>
      </c>
      <c r="AD8" s="12">
        <v>36.700000000000003</v>
      </c>
      <c r="AE8" s="12">
        <v>0.29399999999999998</v>
      </c>
    </row>
    <row r="25" spans="1:31" ht="15" customHeight="1" thickBot="1" x14ac:dyDescent="0.3">
      <c r="A25" s="59" t="s">
        <v>12</v>
      </c>
      <c r="B25" s="60"/>
      <c r="C25" s="1"/>
      <c r="D25" s="1"/>
      <c r="E25" s="1"/>
      <c r="F25" s="1"/>
      <c r="G25" s="1"/>
      <c r="H25" s="1"/>
    </row>
    <row r="26" spans="1:31" ht="15.75" thickBot="1" x14ac:dyDescent="0.3">
      <c r="A26" s="61"/>
      <c r="B26" s="72"/>
      <c r="C26" s="65" t="s">
        <v>45</v>
      </c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7" t="s">
        <v>46</v>
      </c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9"/>
    </row>
    <row r="27" spans="1:31" ht="63" x14ac:dyDescent="0.25">
      <c r="A27" s="7" t="s">
        <v>2</v>
      </c>
      <c r="B27" s="7" t="s">
        <v>32</v>
      </c>
      <c r="C27" s="3" t="s">
        <v>3</v>
      </c>
      <c r="D27" s="3" t="s">
        <v>4</v>
      </c>
      <c r="E27" s="3" t="s">
        <v>20</v>
      </c>
      <c r="F27" s="3" t="s">
        <v>5</v>
      </c>
      <c r="G27" s="3" t="s">
        <v>6</v>
      </c>
      <c r="H27" s="3" t="s">
        <v>42</v>
      </c>
      <c r="I27" s="3" t="s">
        <v>5</v>
      </c>
      <c r="J27" s="3" t="s">
        <v>6</v>
      </c>
      <c r="K27" s="3" t="s">
        <v>44</v>
      </c>
      <c r="L27" s="8" t="s">
        <v>5</v>
      </c>
      <c r="M27" s="11" t="s">
        <v>6</v>
      </c>
      <c r="N27" s="10" t="s">
        <v>33</v>
      </c>
      <c r="O27" s="9" t="s">
        <v>7</v>
      </c>
      <c r="P27" s="3" t="s">
        <v>8</v>
      </c>
      <c r="Q27" s="3" t="s">
        <v>21</v>
      </c>
      <c r="R27" s="3" t="s">
        <v>5</v>
      </c>
      <c r="S27" s="3" t="s">
        <v>6</v>
      </c>
      <c r="T27" s="3" t="s">
        <v>43</v>
      </c>
      <c r="U27" s="3" t="s">
        <v>5</v>
      </c>
      <c r="V27" s="3" t="s">
        <v>6</v>
      </c>
      <c r="W27" s="3" t="s">
        <v>48</v>
      </c>
      <c r="X27" s="3" t="s">
        <v>5</v>
      </c>
      <c r="Y27" s="3" t="s">
        <v>6</v>
      </c>
      <c r="Z27" s="6"/>
      <c r="AA27" s="34" t="s">
        <v>51</v>
      </c>
      <c r="AB27" s="37" t="s">
        <v>49</v>
      </c>
      <c r="AC27" s="37" t="s">
        <v>52</v>
      </c>
      <c r="AD27" s="37" t="s">
        <v>50</v>
      </c>
      <c r="AE27" s="34" t="s">
        <v>53</v>
      </c>
    </row>
    <row r="28" spans="1:31" ht="15.75" x14ac:dyDescent="0.25">
      <c r="A28" s="4">
        <v>0</v>
      </c>
      <c r="B28" s="25">
        <v>862</v>
      </c>
      <c r="C28" s="25">
        <v>14.9</v>
      </c>
      <c r="D28" s="25">
        <f>C28/2</f>
        <v>7.45</v>
      </c>
      <c r="E28" s="25">
        <v>16.3</v>
      </c>
      <c r="F28" s="25">
        <v>1.03</v>
      </c>
      <c r="G28" s="25">
        <f>F28/2</f>
        <v>0.51500000000000001</v>
      </c>
      <c r="H28" s="25">
        <v>43</v>
      </c>
      <c r="I28" s="25">
        <v>0.63500000000000001</v>
      </c>
      <c r="J28" s="25">
        <f>I28/2</f>
        <v>0.3175</v>
      </c>
      <c r="K28" s="26">
        <v>11.2</v>
      </c>
      <c r="L28" s="31">
        <v>0.17199999999999999</v>
      </c>
      <c r="M28" s="32">
        <f>L28/2</f>
        <v>8.5999999999999993E-2</v>
      </c>
      <c r="N28" s="24">
        <v>862</v>
      </c>
      <c r="O28" s="24">
        <v>14.9</v>
      </c>
      <c r="P28" s="25">
        <f>O28/2</f>
        <v>7.45</v>
      </c>
      <c r="Q28" s="26">
        <v>16.3</v>
      </c>
      <c r="R28" s="25">
        <v>1.03</v>
      </c>
      <c r="S28" s="25">
        <f>R28/2</f>
        <v>0.51500000000000001</v>
      </c>
      <c r="T28" s="26">
        <v>43</v>
      </c>
      <c r="U28" s="25">
        <v>0.63500000000000001</v>
      </c>
      <c r="V28" s="25">
        <f>U28/2</f>
        <v>0.3175</v>
      </c>
      <c r="W28" s="26">
        <v>11.2</v>
      </c>
      <c r="X28" s="26">
        <v>0.17199999999999999</v>
      </c>
      <c r="Y28" s="26">
        <f>X28/2</f>
        <v>8.5999999999999993E-2</v>
      </c>
      <c r="Z28" s="38"/>
      <c r="AA28" s="12">
        <v>0</v>
      </c>
    </row>
    <row r="29" spans="1:31" ht="15.75" x14ac:dyDescent="0.25">
      <c r="A29" s="4">
        <v>3</v>
      </c>
      <c r="B29" s="25">
        <v>776</v>
      </c>
      <c r="C29" s="25">
        <v>28.5</v>
      </c>
      <c r="D29" s="25">
        <f t="shared" ref="D29:D32" si="8">C29/2</f>
        <v>14.25</v>
      </c>
      <c r="E29" s="25">
        <v>16</v>
      </c>
      <c r="F29" s="25">
        <v>1.75</v>
      </c>
      <c r="G29" s="25">
        <f t="shared" ref="G29:G32" si="9">F29/2</f>
        <v>0.875</v>
      </c>
      <c r="H29" s="25">
        <v>52.4</v>
      </c>
      <c r="I29" s="25">
        <v>1.19</v>
      </c>
      <c r="J29" s="25">
        <f t="shared" ref="J29:J32" si="10">I29/2</f>
        <v>0.59499999999999997</v>
      </c>
      <c r="K29" s="26">
        <v>12.5</v>
      </c>
      <c r="L29" s="31">
        <v>0.65600000000000003</v>
      </c>
      <c r="M29" s="32">
        <f t="shared" ref="M29:M32" si="11">L29/2</f>
        <v>0.32800000000000001</v>
      </c>
      <c r="N29" s="27">
        <v>565</v>
      </c>
      <c r="O29" s="28">
        <v>150</v>
      </c>
      <c r="P29" s="25">
        <f t="shared" ref="P29:P32" si="12">O29/2</f>
        <v>75</v>
      </c>
      <c r="Q29" s="25">
        <v>18</v>
      </c>
      <c r="R29" s="25">
        <v>2.2000000000000002</v>
      </c>
      <c r="S29" s="25">
        <f>R29/2</f>
        <v>1.1000000000000001</v>
      </c>
      <c r="T29" s="25">
        <v>53.7</v>
      </c>
      <c r="U29" s="25">
        <v>1.41</v>
      </c>
      <c r="V29" s="25">
        <f>U29/2</f>
        <v>0.70499999999999996</v>
      </c>
      <c r="W29" s="25">
        <v>13.3</v>
      </c>
      <c r="X29" s="26">
        <v>0.53500000000000003</v>
      </c>
      <c r="Y29" s="26">
        <f t="shared" ref="Y29:Y32" si="13">X29/2</f>
        <v>0.26750000000000002</v>
      </c>
      <c r="Z29" s="38"/>
      <c r="AA29" s="12">
        <v>3</v>
      </c>
    </row>
    <row r="30" spans="1:31" ht="15.75" x14ac:dyDescent="0.25">
      <c r="A30" s="5">
        <v>6</v>
      </c>
      <c r="B30" s="30">
        <v>825</v>
      </c>
      <c r="C30" s="30">
        <v>18.899999999999999</v>
      </c>
      <c r="D30" s="25">
        <f t="shared" si="8"/>
        <v>9.4499999999999993</v>
      </c>
      <c r="E30" s="30">
        <v>17.3</v>
      </c>
      <c r="F30" s="30">
        <v>0.626</v>
      </c>
      <c r="G30" s="25">
        <f t="shared" si="9"/>
        <v>0.313</v>
      </c>
      <c r="H30" s="30">
        <v>51.1</v>
      </c>
      <c r="I30" s="30">
        <v>1</v>
      </c>
      <c r="J30" s="25">
        <f t="shared" si="10"/>
        <v>0.5</v>
      </c>
      <c r="K30" s="26">
        <v>11.3</v>
      </c>
      <c r="L30" s="31">
        <v>0.29399999999999998</v>
      </c>
      <c r="M30" s="32">
        <f t="shared" si="11"/>
        <v>0.14699999999999999</v>
      </c>
      <c r="N30" s="29">
        <v>790</v>
      </c>
      <c r="O30" s="29">
        <v>53.7</v>
      </c>
      <c r="P30" s="25">
        <f t="shared" si="12"/>
        <v>26.85</v>
      </c>
      <c r="Q30" s="30">
        <v>17.399999999999999</v>
      </c>
      <c r="R30" s="30">
        <v>2.61</v>
      </c>
      <c r="S30" s="25">
        <f t="shared" ref="S30:S32" si="14">R30/2</f>
        <v>1.3049999999999999</v>
      </c>
      <c r="T30" s="30">
        <v>56.2</v>
      </c>
      <c r="U30" s="30">
        <v>1.65</v>
      </c>
      <c r="V30" s="25">
        <f t="shared" ref="V30:V32" si="15">U30/2</f>
        <v>0.82499999999999996</v>
      </c>
      <c r="W30" s="30">
        <v>13.1</v>
      </c>
      <c r="X30" s="26">
        <v>0.46300000000000002</v>
      </c>
      <c r="Y30" s="26">
        <f t="shared" si="13"/>
        <v>0.23150000000000001</v>
      </c>
      <c r="Z30" s="38"/>
      <c r="AA30" s="12">
        <v>6</v>
      </c>
    </row>
    <row r="31" spans="1:31" ht="15.75" x14ac:dyDescent="0.25">
      <c r="A31" s="4">
        <v>9</v>
      </c>
      <c r="B31" s="25">
        <v>804</v>
      </c>
      <c r="C31" s="25">
        <v>32.1</v>
      </c>
      <c r="D31" s="25">
        <f t="shared" si="8"/>
        <v>16.05</v>
      </c>
      <c r="E31" s="25">
        <v>18.100000000000001</v>
      </c>
      <c r="F31" s="25">
        <v>1.69</v>
      </c>
      <c r="G31" s="25">
        <f t="shared" si="9"/>
        <v>0.84499999999999997</v>
      </c>
      <c r="H31" s="25">
        <v>54.2</v>
      </c>
      <c r="I31" s="25">
        <v>1.17</v>
      </c>
      <c r="J31" s="25">
        <f t="shared" si="10"/>
        <v>0.58499999999999996</v>
      </c>
      <c r="K31" s="26">
        <v>13.3</v>
      </c>
      <c r="L31" s="31">
        <v>0.28999999999999998</v>
      </c>
      <c r="M31" s="32">
        <f t="shared" si="11"/>
        <v>0.14499999999999999</v>
      </c>
      <c r="N31" s="29">
        <v>913</v>
      </c>
      <c r="O31" s="24">
        <v>146</v>
      </c>
      <c r="P31" s="25">
        <f t="shared" si="12"/>
        <v>73</v>
      </c>
      <c r="Q31" s="25">
        <v>15.9</v>
      </c>
      <c r="R31" s="25">
        <v>2.27</v>
      </c>
      <c r="S31" s="25">
        <f t="shared" si="14"/>
        <v>1.135</v>
      </c>
      <c r="T31" s="25">
        <v>53.1</v>
      </c>
      <c r="U31" s="25">
        <v>1.5</v>
      </c>
      <c r="V31" s="25">
        <f t="shared" si="15"/>
        <v>0.75</v>
      </c>
      <c r="W31" s="25">
        <v>12.3</v>
      </c>
      <c r="X31" s="26">
        <v>0.59699999999999998</v>
      </c>
      <c r="Y31" s="26">
        <f t="shared" si="13"/>
        <v>0.29849999999999999</v>
      </c>
      <c r="Z31" s="38"/>
      <c r="AA31" s="12">
        <v>9</v>
      </c>
    </row>
    <row r="32" spans="1:31" ht="15.75" x14ac:dyDescent="0.25">
      <c r="A32" s="4">
        <v>12</v>
      </c>
      <c r="B32" s="25">
        <v>526</v>
      </c>
      <c r="C32" s="25">
        <v>18</v>
      </c>
      <c r="D32" s="25">
        <f t="shared" si="8"/>
        <v>9</v>
      </c>
      <c r="E32" s="25">
        <v>7.34</v>
      </c>
      <c r="F32" s="25">
        <v>1.19</v>
      </c>
      <c r="G32" s="25">
        <f t="shared" si="9"/>
        <v>0.59499999999999997</v>
      </c>
      <c r="H32" s="25">
        <v>41.9</v>
      </c>
      <c r="I32" s="25">
        <v>2.0299999999999998</v>
      </c>
      <c r="J32" s="25">
        <f t="shared" si="10"/>
        <v>1.0149999999999999</v>
      </c>
      <c r="K32" s="26">
        <v>8.9600000000000009</v>
      </c>
      <c r="L32" s="31">
        <v>0.64800000000000002</v>
      </c>
      <c r="M32" s="32">
        <f t="shared" si="11"/>
        <v>0.32400000000000001</v>
      </c>
      <c r="N32" s="29">
        <v>559</v>
      </c>
      <c r="O32" s="24">
        <v>79.900000000000006</v>
      </c>
      <c r="P32" s="25">
        <f t="shared" si="12"/>
        <v>39.950000000000003</v>
      </c>
      <c r="Q32" s="25">
        <v>5.98</v>
      </c>
      <c r="R32" s="25">
        <v>1.98</v>
      </c>
      <c r="S32" s="25">
        <f t="shared" si="14"/>
        <v>0.99</v>
      </c>
      <c r="T32" s="25">
        <v>40.5</v>
      </c>
      <c r="U32" s="25">
        <v>2.42</v>
      </c>
      <c r="V32" s="25">
        <f t="shared" si="15"/>
        <v>1.21</v>
      </c>
      <c r="W32" s="25">
        <v>8.2200000000000006</v>
      </c>
      <c r="X32" s="26">
        <v>0.48099999999999998</v>
      </c>
      <c r="Y32" s="26">
        <f t="shared" si="13"/>
        <v>0.24049999999999999</v>
      </c>
      <c r="Z32" s="38"/>
      <c r="AA32" s="12">
        <v>12</v>
      </c>
      <c r="AB32" s="12">
        <v>38.200000000000003</v>
      </c>
      <c r="AC32" s="12">
        <v>5.01</v>
      </c>
      <c r="AD32" s="12">
        <v>41.5</v>
      </c>
      <c r="AE32" s="12">
        <v>2.0499999999999998</v>
      </c>
    </row>
    <row r="49" spans="1:31" ht="15" customHeight="1" thickBot="1" x14ac:dyDescent="0.3">
      <c r="A49" s="59" t="s">
        <v>13</v>
      </c>
      <c r="B49" s="60"/>
      <c r="C49" s="1"/>
      <c r="D49" s="1"/>
      <c r="E49" s="1"/>
      <c r="F49" s="1"/>
      <c r="G49" s="1"/>
      <c r="H49" s="1"/>
    </row>
    <row r="50" spans="1:31" ht="15.75" thickBot="1" x14ac:dyDescent="0.3">
      <c r="A50" s="61"/>
      <c r="B50" s="62"/>
      <c r="C50" s="65" t="s">
        <v>45</v>
      </c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7" t="s">
        <v>46</v>
      </c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9"/>
    </row>
    <row r="51" spans="1:31" ht="63" x14ac:dyDescent="0.25">
      <c r="A51" s="7" t="s">
        <v>2</v>
      </c>
      <c r="B51" s="7" t="s">
        <v>32</v>
      </c>
      <c r="C51" s="3" t="s">
        <v>3</v>
      </c>
      <c r="D51" s="3" t="s">
        <v>4</v>
      </c>
      <c r="E51" s="3" t="s">
        <v>20</v>
      </c>
      <c r="F51" s="3" t="s">
        <v>5</v>
      </c>
      <c r="G51" s="3" t="s">
        <v>6</v>
      </c>
      <c r="H51" s="3" t="s">
        <v>42</v>
      </c>
      <c r="I51" s="3" t="s">
        <v>5</v>
      </c>
      <c r="J51" s="3" t="s">
        <v>6</v>
      </c>
      <c r="K51" s="3" t="s">
        <v>44</v>
      </c>
      <c r="L51" s="8" t="s">
        <v>5</v>
      </c>
      <c r="M51" s="11" t="s">
        <v>6</v>
      </c>
      <c r="N51" s="10" t="s">
        <v>33</v>
      </c>
      <c r="O51" s="9" t="s">
        <v>7</v>
      </c>
      <c r="P51" s="3" t="s">
        <v>8</v>
      </c>
      <c r="Q51" s="3" t="s">
        <v>21</v>
      </c>
      <c r="R51" s="3" t="s">
        <v>5</v>
      </c>
      <c r="S51" s="3" t="s">
        <v>6</v>
      </c>
      <c r="T51" s="3" t="s">
        <v>43</v>
      </c>
      <c r="U51" s="3" t="s">
        <v>5</v>
      </c>
      <c r="V51" s="3" t="s">
        <v>6</v>
      </c>
      <c r="W51" s="3" t="s">
        <v>48</v>
      </c>
      <c r="X51" s="3" t="s">
        <v>5</v>
      </c>
      <c r="Y51" s="3" t="s">
        <v>6</v>
      </c>
      <c r="Z51" s="6"/>
      <c r="AA51" s="34" t="s">
        <v>51</v>
      </c>
      <c r="AB51" s="37" t="s">
        <v>49</v>
      </c>
      <c r="AC51" s="37" t="s">
        <v>52</v>
      </c>
      <c r="AD51" s="37" t="s">
        <v>50</v>
      </c>
      <c r="AE51" s="34" t="s">
        <v>53</v>
      </c>
    </row>
    <row r="52" spans="1:31" ht="15.75" x14ac:dyDescent="0.25">
      <c r="A52" s="4">
        <v>0</v>
      </c>
      <c r="B52" s="25">
        <v>862</v>
      </c>
      <c r="C52" s="25">
        <v>14.9</v>
      </c>
      <c r="D52" s="25">
        <f>C52/2</f>
        <v>7.45</v>
      </c>
      <c r="E52" s="25">
        <v>16.3</v>
      </c>
      <c r="F52" s="25">
        <v>1.03</v>
      </c>
      <c r="G52" s="25">
        <f>F52/2</f>
        <v>0.51500000000000001</v>
      </c>
      <c r="H52" s="25">
        <v>43</v>
      </c>
      <c r="I52" s="25">
        <v>0.63500000000000001</v>
      </c>
      <c r="J52" s="25">
        <f>I52/2</f>
        <v>0.3175</v>
      </c>
      <c r="K52" s="26">
        <v>11.2</v>
      </c>
      <c r="L52" s="31">
        <v>0.17199999999999999</v>
      </c>
      <c r="M52" s="32">
        <f>L52/2</f>
        <v>8.5999999999999993E-2</v>
      </c>
      <c r="N52" s="24">
        <v>862</v>
      </c>
      <c r="O52" s="24">
        <v>14.9</v>
      </c>
      <c r="P52" s="25">
        <f>O52/2</f>
        <v>7.45</v>
      </c>
      <c r="Q52" s="26">
        <v>16.3</v>
      </c>
      <c r="R52" s="25">
        <v>1.03</v>
      </c>
      <c r="S52" s="25">
        <f>R52/2</f>
        <v>0.51500000000000001</v>
      </c>
      <c r="T52" s="26">
        <v>43</v>
      </c>
      <c r="U52" s="25">
        <v>0.63500000000000001</v>
      </c>
      <c r="V52" s="25">
        <f>U52/2</f>
        <v>0.3175</v>
      </c>
      <c r="W52" s="26">
        <v>11.2</v>
      </c>
      <c r="X52" s="26">
        <v>0.17199999999999999</v>
      </c>
      <c r="Y52" s="26">
        <f>X52/2</f>
        <v>8.5999999999999993E-2</v>
      </c>
      <c r="Z52" s="38"/>
      <c r="AA52" s="12">
        <v>0</v>
      </c>
    </row>
    <row r="53" spans="1:31" ht="15.75" x14ac:dyDescent="0.25">
      <c r="A53" s="4">
        <v>3</v>
      </c>
      <c r="B53" s="25">
        <v>515</v>
      </c>
      <c r="C53" s="25">
        <v>176</v>
      </c>
      <c r="D53" s="25">
        <f t="shared" ref="D53:D56" si="16">C53/2</f>
        <v>88</v>
      </c>
      <c r="E53" s="25">
        <v>15.2</v>
      </c>
      <c r="F53" s="25">
        <v>3.94</v>
      </c>
      <c r="G53" s="25">
        <f t="shared" ref="G53:G56" si="17">F53/2</f>
        <v>1.97</v>
      </c>
      <c r="H53" s="25">
        <v>45.6</v>
      </c>
      <c r="I53" s="25">
        <v>0.82499999999999996</v>
      </c>
      <c r="J53" s="25">
        <f t="shared" ref="J53:J56" si="18">I53/2</f>
        <v>0.41249999999999998</v>
      </c>
      <c r="K53" s="26">
        <v>68.099999999999994</v>
      </c>
      <c r="L53" s="31">
        <v>96.2</v>
      </c>
      <c r="M53" s="32">
        <f t="shared" ref="M53:M56" si="19">L53/2</f>
        <v>48.1</v>
      </c>
      <c r="N53" s="27">
        <v>665</v>
      </c>
      <c r="O53" s="28">
        <v>185</v>
      </c>
      <c r="P53" s="25">
        <f t="shared" ref="P53:P56" si="20">O53/2</f>
        <v>92.5</v>
      </c>
      <c r="Q53" s="25">
        <v>14.5</v>
      </c>
      <c r="R53" s="25">
        <v>2.2200000000000002</v>
      </c>
      <c r="S53" s="25">
        <f>R53/2</f>
        <v>1.1100000000000001</v>
      </c>
      <c r="T53" s="25">
        <v>48.5</v>
      </c>
      <c r="U53" s="25">
        <v>1.76</v>
      </c>
      <c r="V53" s="25">
        <f>U53/2</f>
        <v>0.88</v>
      </c>
      <c r="W53" s="25">
        <v>25.7</v>
      </c>
      <c r="X53" s="26">
        <v>16.399999999999999</v>
      </c>
      <c r="Y53" s="26">
        <f t="shared" ref="Y53:Y56" si="21">X53/2</f>
        <v>8.1999999999999993</v>
      </c>
      <c r="Z53" s="38"/>
      <c r="AA53" s="12">
        <v>3</v>
      </c>
    </row>
    <row r="54" spans="1:31" ht="15.75" x14ac:dyDescent="0.25">
      <c r="A54" s="5">
        <v>6</v>
      </c>
      <c r="B54" s="30">
        <v>768</v>
      </c>
      <c r="C54" s="30">
        <v>17.100000000000001</v>
      </c>
      <c r="D54" s="25">
        <f t="shared" si="16"/>
        <v>8.5500000000000007</v>
      </c>
      <c r="E54" s="30">
        <v>14.6</v>
      </c>
      <c r="F54" s="30">
        <v>0.58299999999999996</v>
      </c>
      <c r="G54" s="25">
        <f t="shared" si="17"/>
        <v>0.29149999999999998</v>
      </c>
      <c r="H54" s="30">
        <v>43.4</v>
      </c>
      <c r="I54" s="30">
        <v>0.77400000000000002</v>
      </c>
      <c r="J54" s="25">
        <f t="shared" si="18"/>
        <v>0.38700000000000001</v>
      </c>
      <c r="K54" s="26">
        <v>34.6</v>
      </c>
      <c r="L54" s="31">
        <v>49.5</v>
      </c>
      <c r="M54" s="32">
        <f t="shared" si="19"/>
        <v>24.75</v>
      </c>
      <c r="N54" s="29">
        <v>824</v>
      </c>
      <c r="O54" s="29">
        <v>20.2</v>
      </c>
      <c r="P54" s="25">
        <f t="shared" si="20"/>
        <v>10.1</v>
      </c>
      <c r="Q54" s="30">
        <v>18.100000000000001</v>
      </c>
      <c r="R54" s="30">
        <v>2.4300000000000002</v>
      </c>
      <c r="S54" s="25">
        <f t="shared" ref="S54:S56" si="22">R54/2</f>
        <v>1.2150000000000001</v>
      </c>
      <c r="T54" s="30">
        <v>49.8</v>
      </c>
      <c r="U54" s="30">
        <v>2.63</v>
      </c>
      <c r="V54" s="25">
        <f t="shared" ref="V54:V56" si="23">U54/2</f>
        <v>1.3149999999999999</v>
      </c>
      <c r="W54" s="30">
        <v>13</v>
      </c>
      <c r="X54" s="26">
        <v>0.90600000000000003</v>
      </c>
      <c r="Y54" s="26">
        <f t="shared" si="21"/>
        <v>0.45300000000000001</v>
      </c>
      <c r="Z54" s="38"/>
      <c r="AA54" s="12">
        <v>6</v>
      </c>
    </row>
    <row r="55" spans="1:31" ht="15.75" x14ac:dyDescent="0.25">
      <c r="A55" s="4">
        <v>9</v>
      </c>
      <c r="B55" s="25">
        <v>735</v>
      </c>
      <c r="C55" s="25">
        <v>204</v>
      </c>
      <c r="D55" s="25">
        <f t="shared" si="16"/>
        <v>102</v>
      </c>
      <c r="E55" s="25">
        <v>17.399999999999999</v>
      </c>
      <c r="F55" s="25">
        <v>2.5</v>
      </c>
      <c r="G55" s="25">
        <f t="shared" si="17"/>
        <v>1.25</v>
      </c>
      <c r="H55" s="25">
        <v>49.1</v>
      </c>
      <c r="I55" s="25">
        <v>1.46</v>
      </c>
      <c r="J55" s="25">
        <f t="shared" si="18"/>
        <v>0.73</v>
      </c>
      <c r="K55" s="26">
        <v>19.3</v>
      </c>
      <c r="L55" s="31">
        <v>11</v>
      </c>
      <c r="M55" s="32">
        <f t="shared" si="19"/>
        <v>5.5</v>
      </c>
      <c r="N55" s="29">
        <v>830</v>
      </c>
      <c r="O55" s="24">
        <v>22.8</v>
      </c>
      <c r="P55" s="25">
        <f t="shared" si="20"/>
        <v>11.4</v>
      </c>
      <c r="Q55" s="25">
        <v>16.600000000000001</v>
      </c>
      <c r="R55" s="25">
        <v>0.69199999999999995</v>
      </c>
      <c r="S55" s="25">
        <f t="shared" si="22"/>
        <v>0.34599999999999997</v>
      </c>
      <c r="T55" s="25">
        <v>46.9</v>
      </c>
      <c r="U55" s="25">
        <v>1.52</v>
      </c>
      <c r="V55" s="25">
        <f t="shared" si="23"/>
        <v>0.76</v>
      </c>
      <c r="W55" s="25">
        <v>16.3</v>
      </c>
      <c r="X55" s="26">
        <v>9.66</v>
      </c>
      <c r="Y55" s="26">
        <f t="shared" si="21"/>
        <v>4.83</v>
      </c>
      <c r="Z55" s="38"/>
      <c r="AA55" s="12">
        <v>9</v>
      </c>
    </row>
    <row r="56" spans="1:31" ht="15.75" x14ac:dyDescent="0.25">
      <c r="A56" s="4">
        <v>12</v>
      </c>
      <c r="B56" s="25">
        <v>817</v>
      </c>
      <c r="C56" s="25">
        <v>31.7</v>
      </c>
      <c r="D56" s="25">
        <f t="shared" si="16"/>
        <v>15.85</v>
      </c>
      <c r="E56" s="25">
        <v>16.2</v>
      </c>
      <c r="F56" s="25">
        <v>1.4</v>
      </c>
      <c r="G56" s="25">
        <f t="shared" si="17"/>
        <v>0.7</v>
      </c>
      <c r="H56" s="25">
        <v>48.3</v>
      </c>
      <c r="I56" s="25">
        <v>1.54</v>
      </c>
      <c r="J56" s="25">
        <f t="shared" si="18"/>
        <v>0.77</v>
      </c>
      <c r="K56" s="26">
        <v>17.899999999999999</v>
      </c>
      <c r="L56" s="31">
        <v>13.2</v>
      </c>
      <c r="M56" s="32">
        <f t="shared" si="19"/>
        <v>6.6</v>
      </c>
      <c r="N56" s="29">
        <v>539</v>
      </c>
      <c r="O56" s="24">
        <v>160</v>
      </c>
      <c r="P56" s="25">
        <f t="shared" si="20"/>
        <v>80</v>
      </c>
      <c r="Q56" s="25">
        <v>9.24</v>
      </c>
      <c r="R56" s="25">
        <v>3.24</v>
      </c>
      <c r="S56" s="25">
        <f t="shared" si="22"/>
        <v>1.62</v>
      </c>
      <c r="T56" s="25">
        <v>40.6</v>
      </c>
      <c r="U56" s="25">
        <v>3.37</v>
      </c>
      <c r="V56" s="25">
        <f t="shared" si="23"/>
        <v>1.6850000000000001</v>
      </c>
      <c r="W56" s="25">
        <v>10.1</v>
      </c>
      <c r="X56" s="26">
        <v>1.02</v>
      </c>
      <c r="Y56" s="26">
        <f t="shared" si="21"/>
        <v>0.51</v>
      </c>
      <c r="Z56" s="38"/>
      <c r="AA56" s="12">
        <v>12</v>
      </c>
      <c r="AD56" s="12">
        <v>33.6</v>
      </c>
      <c r="AE56" s="12">
        <v>12.3</v>
      </c>
    </row>
  </sheetData>
  <mergeCells count="9">
    <mergeCell ref="A1:B2"/>
    <mergeCell ref="A25:B26"/>
    <mergeCell ref="A49:B50"/>
    <mergeCell ref="C26:M26"/>
    <mergeCell ref="N26:Y26"/>
    <mergeCell ref="C2:M2"/>
    <mergeCell ref="N2:Y2"/>
    <mergeCell ref="C50:M50"/>
    <mergeCell ref="N50:Y50"/>
  </mergeCells>
  <printOptions horizontalCentered="1" verticalCentered="1"/>
  <pageMargins left="0" right="0" top="0" bottom="0" header="0" footer="0"/>
  <pageSetup paperSize="9" scale="3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BF651-40A5-4000-80F2-0B9CDBB0FE5A}">
  <sheetPr>
    <pageSetUpPr fitToPage="1"/>
  </sheetPr>
  <dimension ref="A1:AE78"/>
  <sheetViews>
    <sheetView topLeftCell="A12" zoomScale="55" zoomScaleNormal="55" workbookViewId="0">
      <selection activeCell="E24" sqref="E24"/>
    </sheetView>
  </sheetViews>
  <sheetFormatPr baseColWidth="10" defaultColWidth="9.140625" defaultRowHeight="15" x14ac:dyDescent="0.25"/>
  <cols>
    <col min="1" max="1" width="10" style="12" customWidth="1"/>
    <col min="2" max="2" width="14" style="12" customWidth="1"/>
    <col min="3" max="4" width="9.140625" style="12"/>
    <col min="5" max="5" width="18.140625" style="12" customWidth="1"/>
    <col min="6" max="7" width="9.140625" style="12"/>
    <col min="8" max="8" width="17.5703125" style="12" customWidth="1"/>
    <col min="9" max="10" width="9.140625" style="12"/>
    <col min="11" max="11" width="12" style="12" customWidth="1"/>
    <col min="12" max="13" width="9.140625" style="12"/>
    <col min="14" max="14" width="13.7109375" style="12" customWidth="1"/>
    <col min="15" max="16" width="9.140625" style="12"/>
    <col min="17" max="17" width="16.85546875" style="12" customWidth="1"/>
    <col min="18" max="19" width="9.140625" style="12"/>
    <col min="20" max="20" width="17.28515625" style="12" customWidth="1"/>
    <col min="21" max="22" width="9.140625" style="12"/>
    <col min="23" max="23" width="12.140625" style="12" customWidth="1"/>
    <col min="24" max="26" width="9.140625" style="12"/>
    <col min="27" max="27" width="10.7109375" style="12" customWidth="1"/>
    <col min="28" max="28" width="20.7109375" style="12" customWidth="1"/>
    <col min="29" max="29" width="9.140625" style="12"/>
    <col min="30" max="30" width="20.7109375" style="12" customWidth="1"/>
    <col min="31" max="16384" width="9.140625" style="12"/>
  </cols>
  <sheetData>
    <row r="1" spans="1:31" ht="15" customHeight="1" thickBot="1" x14ac:dyDescent="0.3">
      <c r="A1" s="59" t="s">
        <v>14</v>
      </c>
      <c r="B1" s="60"/>
      <c r="C1" s="1"/>
      <c r="D1" s="1"/>
      <c r="E1" s="1"/>
      <c r="F1" s="1"/>
      <c r="G1" s="1"/>
      <c r="H1" s="1"/>
    </row>
    <row r="2" spans="1:31" ht="15.75" thickBot="1" x14ac:dyDescent="0.3">
      <c r="A2" s="61"/>
      <c r="B2" s="62"/>
      <c r="C2" s="65" t="s">
        <v>45</v>
      </c>
      <c r="D2" s="66"/>
      <c r="E2" s="66"/>
      <c r="F2" s="66"/>
      <c r="G2" s="66"/>
      <c r="H2" s="66"/>
      <c r="I2" s="66"/>
      <c r="J2" s="66"/>
      <c r="K2" s="66"/>
      <c r="L2" s="66"/>
      <c r="M2" s="66"/>
      <c r="N2" s="67" t="s">
        <v>46</v>
      </c>
      <c r="O2" s="68"/>
      <c r="P2" s="68"/>
      <c r="Q2" s="68"/>
      <c r="R2" s="68"/>
      <c r="S2" s="68"/>
      <c r="T2" s="68"/>
      <c r="U2" s="68"/>
      <c r="V2" s="68"/>
      <c r="W2" s="68"/>
      <c r="X2" s="68"/>
      <c r="Y2" s="69"/>
    </row>
    <row r="3" spans="1:31" ht="63" x14ac:dyDescent="0.25">
      <c r="A3" s="7" t="s">
        <v>2</v>
      </c>
      <c r="B3" s="7" t="s">
        <v>32</v>
      </c>
      <c r="C3" s="3" t="s">
        <v>3</v>
      </c>
      <c r="D3" s="3" t="s">
        <v>4</v>
      </c>
      <c r="E3" s="3" t="s">
        <v>20</v>
      </c>
      <c r="F3" s="3" t="s">
        <v>5</v>
      </c>
      <c r="G3" s="3" t="s">
        <v>6</v>
      </c>
      <c r="H3" s="3" t="s">
        <v>42</v>
      </c>
      <c r="I3" s="3" t="s">
        <v>5</v>
      </c>
      <c r="J3" s="3" t="s">
        <v>6</v>
      </c>
      <c r="K3" s="3" t="s">
        <v>44</v>
      </c>
      <c r="L3" s="8" t="s">
        <v>5</v>
      </c>
      <c r="M3" s="11" t="s">
        <v>6</v>
      </c>
      <c r="N3" s="10" t="s">
        <v>33</v>
      </c>
      <c r="O3" s="9" t="s">
        <v>7</v>
      </c>
      <c r="P3" s="3" t="s">
        <v>8</v>
      </c>
      <c r="Q3" s="3" t="s">
        <v>21</v>
      </c>
      <c r="R3" s="3" t="s">
        <v>5</v>
      </c>
      <c r="S3" s="3" t="s">
        <v>6</v>
      </c>
      <c r="T3" s="3" t="s">
        <v>43</v>
      </c>
      <c r="U3" s="3" t="s">
        <v>5</v>
      </c>
      <c r="V3" s="3" t="s">
        <v>6</v>
      </c>
      <c r="W3" s="3" t="s">
        <v>48</v>
      </c>
      <c r="X3" s="3" t="s">
        <v>5</v>
      </c>
      <c r="Y3" s="3" t="s">
        <v>6</v>
      </c>
      <c r="AA3" s="34" t="s">
        <v>51</v>
      </c>
      <c r="AB3" s="37" t="s">
        <v>49</v>
      </c>
      <c r="AC3" s="37" t="s">
        <v>52</v>
      </c>
      <c r="AD3" s="37" t="s">
        <v>50</v>
      </c>
      <c r="AE3" s="34" t="s">
        <v>53</v>
      </c>
    </row>
    <row r="4" spans="1:31" ht="15.75" x14ac:dyDescent="0.25">
      <c r="A4" s="4">
        <v>0</v>
      </c>
      <c r="B4" s="25">
        <v>1030</v>
      </c>
      <c r="C4" s="25">
        <v>76.599999999999994</v>
      </c>
      <c r="D4" s="25">
        <f>C4/2</f>
        <v>38.299999999999997</v>
      </c>
      <c r="E4" s="25">
        <v>13.7</v>
      </c>
      <c r="F4" s="25">
        <v>1.17</v>
      </c>
      <c r="G4" s="25">
        <f>F4/2</f>
        <v>0.58499999999999996</v>
      </c>
      <c r="H4" s="25">
        <v>39.299999999999997</v>
      </c>
      <c r="I4" s="25">
        <v>1.01</v>
      </c>
      <c r="J4" s="25">
        <f>I4/2</f>
        <v>0.505</v>
      </c>
      <c r="K4" s="26">
        <v>11.6</v>
      </c>
      <c r="L4" s="31">
        <v>0.55300000000000005</v>
      </c>
      <c r="M4" s="32">
        <f>L4/2</f>
        <v>0.27650000000000002</v>
      </c>
      <c r="N4" s="24">
        <v>1030</v>
      </c>
      <c r="O4" s="24">
        <v>76.599999999999994</v>
      </c>
      <c r="P4" s="25">
        <f>O4/2</f>
        <v>38.299999999999997</v>
      </c>
      <c r="Q4" s="26">
        <v>13.7</v>
      </c>
      <c r="R4" s="25">
        <v>1.17</v>
      </c>
      <c r="S4" s="25">
        <f>R4/2</f>
        <v>0.58499999999999996</v>
      </c>
      <c r="T4" s="26">
        <v>38.299999999999997</v>
      </c>
      <c r="U4" s="25">
        <v>1.01</v>
      </c>
      <c r="V4" s="25">
        <f>U4/2</f>
        <v>0.505</v>
      </c>
      <c r="W4" s="26">
        <v>11.6</v>
      </c>
      <c r="X4" s="26">
        <v>0.55300000000000005</v>
      </c>
      <c r="Y4" s="26">
        <f>X4/2</f>
        <v>0.27650000000000002</v>
      </c>
      <c r="AA4" s="34">
        <v>0</v>
      </c>
      <c r="AB4" s="34"/>
      <c r="AC4" s="34"/>
      <c r="AD4" s="34"/>
      <c r="AE4" s="34"/>
    </row>
    <row r="5" spans="1:31" ht="15.75" x14ac:dyDescent="0.25">
      <c r="A5" s="4">
        <v>3</v>
      </c>
      <c r="B5" s="25">
        <v>846</v>
      </c>
      <c r="C5" s="25">
        <v>34.4</v>
      </c>
      <c r="D5" s="25">
        <f t="shared" ref="D5:D8" si="0">C5/2</f>
        <v>17.2</v>
      </c>
      <c r="E5" s="25">
        <v>15.9</v>
      </c>
      <c r="F5" s="25">
        <v>1.56</v>
      </c>
      <c r="G5" s="25">
        <f t="shared" ref="G5:G8" si="1">F5/2</f>
        <v>0.78</v>
      </c>
      <c r="H5" s="25">
        <v>38.200000000000003</v>
      </c>
      <c r="I5" s="25">
        <v>1.95</v>
      </c>
      <c r="J5" s="25">
        <f t="shared" ref="J5:J8" si="2">I5/2</f>
        <v>0.97499999999999998</v>
      </c>
      <c r="K5" s="26">
        <v>10.199999999999999</v>
      </c>
      <c r="L5" s="31">
        <v>0.41799999999999998</v>
      </c>
      <c r="M5" s="32">
        <f t="shared" ref="M5:M8" si="3">L5/2</f>
        <v>0.20899999999999999</v>
      </c>
      <c r="N5" s="27">
        <v>852</v>
      </c>
      <c r="O5" s="28">
        <v>15.3</v>
      </c>
      <c r="P5" s="25">
        <f t="shared" ref="P5:P8" si="4">O5/2</f>
        <v>7.65</v>
      </c>
      <c r="Q5" s="25">
        <v>15.2</v>
      </c>
      <c r="R5" s="25">
        <v>1.71</v>
      </c>
      <c r="S5" s="25">
        <f>R5/2</f>
        <v>0.85499999999999998</v>
      </c>
      <c r="T5" s="25">
        <v>39.700000000000003</v>
      </c>
      <c r="U5" s="25">
        <v>4.41</v>
      </c>
      <c r="V5" s="25">
        <f>U5/2</f>
        <v>2.2050000000000001</v>
      </c>
      <c r="W5" s="25">
        <v>11.1</v>
      </c>
      <c r="X5" s="26">
        <v>1.57</v>
      </c>
      <c r="Y5" s="26">
        <f t="shared" ref="Y5:Y8" si="5">X5/2</f>
        <v>0.78500000000000003</v>
      </c>
      <c r="AA5" s="34">
        <v>3</v>
      </c>
      <c r="AB5" s="34"/>
      <c r="AC5" s="34"/>
      <c r="AD5" s="34"/>
      <c r="AE5" s="34"/>
    </row>
    <row r="6" spans="1:31" ht="15.75" x14ac:dyDescent="0.25">
      <c r="A6" s="5">
        <v>6</v>
      </c>
      <c r="B6" s="30">
        <v>844</v>
      </c>
      <c r="C6" s="30">
        <v>36.799999999999997</v>
      </c>
      <c r="D6" s="25">
        <f t="shared" si="0"/>
        <v>18.399999999999999</v>
      </c>
      <c r="E6" s="30">
        <v>13.8</v>
      </c>
      <c r="F6" s="30">
        <v>2.2200000000000002</v>
      </c>
      <c r="G6" s="25">
        <f t="shared" si="1"/>
        <v>1.1100000000000001</v>
      </c>
      <c r="H6" s="30">
        <v>32</v>
      </c>
      <c r="I6" s="30">
        <v>5.05</v>
      </c>
      <c r="J6" s="25">
        <f t="shared" si="2"/>
        <v>2.5249999999999999</v>
      </c>
      <c r="K6" s="26">
        <v>8.2100000000000009</v>
      </c>
      <c r="L6" s="31">
        <v>1.44</v>
      </c>
      <c r="M6" s="32">
        <f t="shared" si="3"/>
        <v>0.72</v>
      </c>
      <c r="N6" s="29">
        <v>935</v>
      </c>
      <c r="O6" s="29">
        <v>56</v>
      </c>
      <c r="P6" s="25">
        <f t="shared" si="4"/>
        <v>28</v>
      </c>
      <c r="Q6" s="30">
        <v>14.6</v>
      </c>
      <c r="R6" s="30">
        <v>1.84</v>
      </c>
      <c r="S6" s="25">
        <f t="shared" ref="S6:S8" si="6">R6/2</f>
        <v>0.92</v>
      </c>
      <c r="T6" s="30">
        <v>33.200000000000003</v>
      </c>
      <c r="U6" s="30">
        <v>6.19</v>
      </c>
      <c r="V6" s="25">
        <f t="shared" ref="V6:V8" si="7">U6/2</f>
        <v>3.0950000000000002</v>
      </c>
      <c r="W6" s="30">
        <v>8.33</v>
      </c>
      <c r="X6" s="26">
        <v>1.87</v>
      </c>
      <c r="Y6" s="26">
        <f t="shared" si="5"/>
        <v>0.93500000000000005</v>
      </c>
      <c r="AA6" s="34">
        <v>6</v>
      </c>
      <c r="AB6" s="34"/>
      <c r="AC6" s="34"/>
      <c r="AD6" s="34"/>
      <c r="AE6" s="34"/>
    </row>
    <row r="7" spans="1:31" ht="15.75" x14ac:dyDescent="0.25">
      <c r="A7" s="4">
        <v>9</v>
      </c>
      <c r="B7" s="25">
        <v>931</v>
      </c>
      <c r="C7" s="25">
        <v>55.9</v>
      </c>
      <c r="D7" s="25">
        <f t="shared" si="0"/>
        <v>27.95</v>
      </c>
      <c r="E7" s="25">
        <v>14.2</v>
      </c>
      <c r="F7" s="25">
        <v>0.78600000000000003</v>
      </c>
      <c r="G7" s="25">
        <f t="shared" si="1"/>
        <v>0.39300000000000002</v>
      </c>
      <c r="H7" s="25">
        <v>33.6</v>
      </c>
      <c r="I7" s="25">
        <v>5.43</v>
      </c>
      <c r="J7" s="25">
        <f t="shared" si="2"/>
        <v>2.7149999999999999</v>
      </c>
      <c r="K7" s="26">
        <v>9.08</v>
      </c>
      <c r="L7" s="31">
        <v>2.52</v>
      </c>
      <c r="M7" s="32">
        <f t="shared" si="3"/>
        <v>1.26</v>
      </c>
      <c r="N7" s="29">
        <v>1020</v>
      </c>
      <c r="O7" s="24">
        <v>133</v>
      </c>
      <c r="P7" s="25">
        <f t="shared" si="4"/>
        <v>66.5</v>
      </c>
      <c r="Q7" s="25">
        <v>11</v>
      </c>
      <c r="R7" s="25">
        <v>1.54</v>
      </c>
      <c r="S7" s="25">
        <f t="shared" si="6"/>
        <v>0.77</v>
      </c>
      <c r="T7" s="25">
        <v>34.4</v>
      </c>
      <c r="U7" s="25">
        <v>0.64200000000000002</v>
      </c>
      <c r="V7" s="25">
        <f t="shared" si="7"/>
        <v>0.32100000000000001</v>
      </c>
      <c r="W7" s="25">
        <v>8.98</v>
      </c>
      <c r="X7" s="26">
        <v>0.56999999999999995</v>
      </c>
      <c r="Y7" s="26">
        <f t="shared" si="5"/>
        <v>0.28499999999999998</v>
      </c>
      <c r="AA7" s="34">
        <v>9</v>
      </c>
      <c r="AB7" s="34"/>
      <c r="AC7" s="34"/>
      <c r="AD7" s="34"/>
      <c r="AE7" s="34"/>
    </row>
    <row r="8" spans="1:31" ht="15.75" x14ac:dyDescent="0.25">
      <c r="A8" s="4">
        <v>12</v>
      </c>
      <c r="B8" s="25">
        <v>504</v>
      </c>
      <c r="C8" s="25">
        <v>169</v>
      </c>
      <c r="D8" s="25">
        <f t="shared" si="0"/>
        <v>84.5</v>
      </c>
      <c r="E8" s="25">
        <v>6.1</v>
      </c>
      <c r="F8" s="25">
        <v>0.84499999999999997</v>
      </c>
      <c r="G8" s="25">
        <f t="shared" si="1"/>
        <v>0.42249999999999999</v>
      </c>
      <c r="H8" s="25">
        <v>24.2</v>
      </c>
      <c r="I8" s="25">
        <v>4.6500000000000004</v>
      </c>
      <c r="J8" s="25">
        <f t="shared" si="2"/>
        <v>2.3250000000000002</v>
      </c>
      <c r="K8" s="26">
        <v>6.49</v>
      </c>
      <c r="L8" s="31">
        <v>1.25</v>
      </c>
      <c r="M8" s="32">
        <f t="shared" si="3"/>
        <v>0.625</v>
      </c>
      <c r="N8" s="29">
        <v>1060</v>
      </c>
      <c r="O8" s="24">
        <v>52.6</v>
      </c>
      <c r="P8" s="25">
        <f t="shared" si="4"/>
        <v>26.3</v>
      </c>
      <c r="Q8" s="25">
        <v>16.2</v>
      </c>
      <c r="R8" s="25">
        <v>1.98</v>
      </c>
      <c r="S8" s="25">
        <f t="shared" si="6"/>
        <v>0.99</v>
      </c>
      <c r="T8" s="25">
        <v>35.700000000000003</v>
      </c>
      <c r="U8" s="25">
        <v>5.21</v>
      </c>
      <c r="V8" s="25">
        <f t="shared" si="7"/>
        <v>2.605</v>
      </c>
      <c r="W8" s="25">
        <v>8.18</v>
      </c>
      <c r="X8" s="26">
        <v>1.45</v>
      </c>
      <c r="Y8" s="26">
        <f t="shared" si="5"/>
        <v>0.72499999999999998</v>
      </c>
      <c r="AA8" s="34">
        <v>12</v>
      </c>
      <c r="AB8" s="34">
        <v>17.2</v>
      </c>
      <c r="AC8" s="34">
        <v>10.5</v>
      </c>
      <c r="AD8" s="34"/>
      <c r="AE8" s="34"/>
    </row>
    <row r="25" spans="1:31" ht="15" customHeight="1" thickBot="1" x14ac:dyDescent="0.3">
      <c r="A25" s="59" t="s">
        <v>15</v>
      </c>
      <c r="B25" s="60"/>
      <c r="C25" s="1"/>
      <c r="D25" s="1"/>
      <c r="E25" s="1"/>
      <c r="F25" s="1"/>
      <c r="G25" s="1"/>
      <c r="H25" s="1"/>
    </row>
    <row r="26" spans="1:31" ht="15.75" thickBot="1" x14ac:dyDescent="0.3">
      <c r="A26" s="61"/>
      <c r="B26" s="62"/>
      <c r="C26" s="65" t="s">
        <v>45</v>
      </c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7" t="s">
        <v>46</v>
      </c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9"/>
    </row>
    <row r="27" spans="1:31" ht="63" x14ac:dyDescent="0.25">
      <c r="A27" s="7" t="s">
        <v>2</v>
      </c>
      <c r="B27" s="7" t="s">
        <v>32</v>
      </c>
      <c r="C27" s="3" t="s">
        <v>3</v>
      </c>
      <c r="D27" s="3" t="s">
        <v>4</v>
      </c>
      <c r="E27" s="3" t="s">
        <v>20</v>
      </c>
      <c r="F27" s="3" t="s">
        <v>5</v>
      </c>
      <c r="G27" s="3" t="s">
        <v>6</v>
      </c>
      <c r="H27" s="3" t="s">
        <v>42</v>
      </c>
      <c r="I27" s="3" t="s">
        <v>5</v>
      </c>
      <c r="J27" s="3" t="s">
        <v>6</v>
      </c>
      <c r="K27" s="3" t="s">
        <v>44</v>
      </c>
      <c r="L27" s="8" t="s">
        <v>5</v>
      </c>
      <c r="M27" s="11" t="s">
        <v>6</v>
      </c>
      <c r="N27" s="10" t="s">
        <v>33</v>
      </c>
      <c r="O27" s="9" t="s">
        <v>7</v>
      </c>
      <c r="P27" s="3" t="s">
        <v>8</v>
      </c>
      <c r="Q27" s="3" t="s">
        <v>21</v>
      </c>
      <c r="R27" s="3" t="s">
        <v>5</v>
      </c>
      <c r="S27" s="3" t="s">
        <v>6</v>
      </c>
      <c r="T27" s="3" t="s">
        <v>43</v>
      </c>
      <c r="U27" s="3" t="s">
        <v>5</v>
      </c>
      <c r="V27" s="3" t="s">
        <v>6</v>
      </c>
      <c r="W27" s="3" t="s">
        <v>48</v>
      </c>
      <c r="X27" s="3" t="s">
        <v>5</v>
      </c>
      <c r="Y27" s="3" t="s">
        <v>6</v>
      </c>
      <c r="AA27" s="34" t="s">
        <v>51</v>
      </c>
      <c r="AB27" s="37" t="s">
        <v>49</v>
      </c>
      <c r="AC27" s="37" t="s">
        <v>52</v>
      </c>
      <c r="AD27" s="37" t="s">
        <v>50</v>
      </c>
      <c r="AE27" s="34" t="s">
        <v>53</v>
      </c>
    </row>
    <row r="28" spans="1:31" ht="15.75" x14ac:dyDescent="0.25">
      <c r="A28" s="4">
        <v>0</v>
      </c>
      <c r="B28" s="25">
        <v>1030</v>
      </c>
      <c r="C28" s="25">
        <v>76.599999999999994</v>
      </c>
      <c r="D28" s="25">
        <f>C28/2</f>
        <v>38.299999999999997</v>
      </c>
      <c r="E28" s="25">
        <v>13.7</v>
      </c>
      <c r="F28" s="25">
        <v>1.17</v>
      </c>
      <c r="G28" s="25">
        <f>F28/2</f>
        <v>0.58499999999999996</v>
      </c>
      <c r="H28" s="25">
        <v>38.299999999999997</v>
      </c>
      <c r="I28" s="25">
        <v>1.01</v>
      </c>
      <c r="J28" s="25">
        <f>I28/2</f>
        <v>0.505</v>
      </c>
      <c r="K28" s="26">
        <v>11.6</v>
      </c>
      <c r="L28" s="31">
        <v>0.55300000000000005</v>
      </c>
      <c r="M28" s="32">
        <f>L28/2</f>
        <v>0.27650000000000002</v>
      </c>
      <c r="N28" s="24">
        <v>1030</v>
      </c>
      <c r="O28" s="24">
        <v>76.599999999999994</v>
      </c>
      <c r="P28" s="25">
        <f>O28/2</f>
        <v>38.299999999999997</v>
      </c>
      <c r="Q28" s="26">
        <v>13.7</v>
      </c>
      <c r="R28" s="25">
        <v>1.17</v>
      </c>
      <c r="S28" s="25">
        <f>R28/2</f>
        <v>0.58499999999999996</v>
      </c>
      <c r="T28" s="26">
        <v>38.299999999999997</v>
      </c>
      <c r="U28" s="25">
        <v>1.01</v>
      </c>
      <c r="V28" s="25">
        <f>U28/2</f>
        <v>0.505</v>
      </c>
      <c r="W28" s="26">
        <v>11.6</v>
      </c>
      <c r="X28" s="26">
        <v>0.55300000000000005</v>
      </c>
      <c r="Y28" s="26">
        <f>X28/2</f>
        <v>0.27650000000000002</v>
      </c>
      <c r="AA28" s="34">
        <v>0</v>
      </c>
      <c r="AB28" s="34"/>
      <c r="AC28" s="34"/>
      <c r="AD28" s="34"/>
      <c r="AE28" s="34"/>
    </row>
    <row r="29" spans="1:31" ht="15.75" x14ac:dyDescent="0.25">
      <c r="A29" s="4">
        <v>3</v>
      </c>
      <c r="B29" s="25">
        <v>863</v>
      </c>
      <c r="C29" s="25">
        <v>81.3</v>
      </c>
      <c r="D29" s="25">
        <f t="shared" ref="D29:D32" si="8">C29/2</f>
        <v>40.65</v>
      </c>
      <c r="E29" s="25">
        <v>14.4</v>
      </c>
      <c r="F29" s="25">
        <v>2.69</v>
      </c>
      <c r="G29" s="25">
        <f t="shared" ref="G29:G32" si="9">F29/2</f>
        <v>1.345</v>
      </c>
      <c r="H29" s="25">
        <v>38.200000000000003</v>
      </c>
      <c r="I29" s="25">
        <v>4.0999999999999996</v>
      </c>
      <c r="J29" s="25">
        <f t="shared" ref="J29:J32" si="10">I29/2</f>
        <v>2.0499999999999998</v>
      </c>
      <c r="K29" s="26">
        <v>10.1</v>
      </c>
      <c r="L29" s="31">
        <v>1.27</v>
      </c>
      <c r="M29" s="32">
        <f t="shared" ref="M29:M32" si="11">L29/2</f>
        <v>0.63500000000000001</v>
      </c>
      <c r="N29" s="27">
        <v>849</v>
      </c>
      <c r="O29" s="28">
        <v>49.4</v>
      </c>
      <c r="P29" s="25">
        <f t="shared" ref="P29:P32" si="12">O29/2</f>
        <v>24.7</v>
      </c>
      <c r="Q29" s="25">
        <v>16.600000000000001</v>
      </c>
      <c r="R29" s="25">
        <v>1.97</v>
      </c>
      <c r="S29" s="25">
        <f>R29/2</f>
        <v>0.98499999999999999</v>
      </c>
      <c r="T29" s="25">
        <v>36.700000000000003</v>
      </c>
      <c r="U29" s="25">
        <v>5.15</v>
      </c>
      <c r="V29" s="25">
        <f>U29/2</f>
        <v>2.5750000000000002</v>
      </c>
      <c r="W29" s="25">
        <v>9.61</v>
      </c>
      <c r="X29" s="26">
        <v>1.52</v>
      </c>
      <c r="Y29" s="26">
        <f t="shared" ref="Y29:Y32" si="13">X29/2</f>
        <v>0.76</v>
      </c>
      <c r="AA29" s="34">
        <v>3</v>
      </c>
      <c r="AB29" s="34"/>
      <c r="AC29" s="34"/>
      <c r="AD29" s="34"/>
      <c r="AE29" s="34"/>
    </row>
    <row r="30" spans="1:31" ht="15.75" x14ac:dyDescent="0.25">
      <c r="A30" s="5">
        <v>6</v>
      </c>
      <c r="B30" s="30">
        <v>912</v>
      </c>
      <c r="C30" s="30">
        <v>32.9</v>
      </c>
      <c r="D30" s="25">
        <f t="shared" si="8"/>
        <v>16.45</v>
      </c>
      <c r="E30" s="30">
        <v>15</v>
      </c>
      <c r="F30" s="30">
        <v>1.85</v>
      </c>
      <c r="G30" s="25">
        <f t="shared" si="9"/>
        <v>0.92500000000000004</v>
      </c>
      <c r="H30" s="30">
        <v>35.5</v>
      </c>
      <c r="I30" s="30">
        <v>4.8600000000000003</v>
      </c>
      <c r="J30" s="25">
        <f t="shared" si="10"/>
        <v>2.4300000000000002</v>
      </c>
      <c r="K30" s="26">
        <v>8.48</v>
      </c>
      <c r="L30" s="31">
        <v>1.56</v>
      </c>
      <c r="M30" s="32">
        <f t="shared" si="11"/>
        <v>0.78</v>
      </c>
      <c r="N30" s="29">
        <v>895</v>
      </c>
      <c r="O30" s="29">
        <v>19.5</v>
      </c>
      <c r="P30" s="25">
        <f t="shared" si="12"/>
        <v>9.75</v>
      </c>
      <c r="Q30" s="30">
        <v>14</v>
      </c>
      <c r="R30" s="30">
        <v>0.45800000000000002</v>
      </c>
      <c r="S30" s="25">
        <f t="shared" ref="S30:S32" si="14">R30/2</f>
        <v>0.22900000000000001</v>
      </c>
      <c r="T30" s="30">
        <v>37.1</v>
      </c>
      <c r="U30" s="30">
        <v>1.1299999999999999</v>
      </c>
      <c r="V30" s="25">
        <f t="shared" ref="V30:V32" si="15">U30/2</f>
        <v>0.56499999999999995</v>
      </c>
      <c r="W30" s="30">
        <v>10.1</v>
      </c>
      <c r="X30" s="26">
        <v>1.1000000000000001</v>
      </c>
      <c r="Y30" s="26">
        <f t="shared" si="13"/>
        <v>0.55000000000000004</v>
      </c>
      <c r="AA30" s="34">
        <v>6</v>
      </c>
      <c r="AB30" s="34"/>
      <c r="AC30" s="34"/>
      <c r="AD30" s="34"/>
      <c r="AE30" s="34"/>
    </row>
    <row r="31" spans="1:31" ht="15.75" x14ac:dyDescent="0.25">
      <c r="A31" s="4">
        <v>9</v>
      </c>
      <c r="B31" s="25">
        <v>923</v>
      </c>
      <c r="C31" s="25">
        <v>66.7</v>
      </c>
      <c r="D31" s="25">
        <f t="shared" si="8"/>
        <v>33.35</v>
      </c>
      <c r="E31" s="25">
        <v>14.2</v>
      </c>
      <c r="F31" s="25">
        <v>0.61399999999999999</v>
      </c>
      <c r="G31" s="25">
        <f t="shared" si="9"/>
        <v>0.307</v>
      </c>
      <c r="H31" s="25">
        <v>36.5</v>
      </c>
      <c r="I31" s="25">
        <v>2.78</v>
      </c>
      <c r="J31" s="25">
        <f t="shared" si="10"/>
        <v>1.39</v>
      </c>
      <c r="K31" s="26">
        <v>10</v>
      </c>
      <c r="L31" s="31">
        <v>1.53</v>
      </c>
      <c r="M31" s="32">
        <f t="shared" si="11"/>
        <v>0.76500000000000001</v>
      </c>
      <c r="N31" s="29">
        <v>929</v>
      </c>
      <c r="O31" s="24">
        <v>112</v>
      </c>
      <c r="P31" s="25">
        <f t="shared" si="12"/>
        <v>56</v>
      </c>
      <c r="Q31" s="25">
        <v>12.4</v>
      </c>
      <c r="R31" s="25">
        <v>2.2400000000000002</v>
      </c>
      <c r="S31" s="25">
        <f t="shared" si="14"/>
        <v>1.1200000000000001</v>
      </c>
      <c r="T31" s="25">
        <v>32.5</v>
      </c>
      <c r="U31" s="25">
        <v>4.5999999999999996</v>
      </c>
      <c r="V31" s="25">
        <f t="shared" si="15"/>
        <v>2.2999999999999998</v>
      </c>
      <c r="W31" s="25">
        <v>8.7100000000000009</v>
      </c>
      <c r="X31" s="26">
        <v>1.94</v>
      </c>
      <c r="Y31" s="26">
        <f t="shared" si="13"/>
        <v>0.97</v>
      </c>
      <c r="AA31" s="34">
        <v>9</v>
      </c>
      <c r="AB31" s="34"/>
      <c r="AC31" s="34"/>
      <c r="AD31" s="34"/>
      <c r="AE31" s="34"/>
    </row>
    <row r="32" spans="1:31" ht="15.75" x14ac:dyDescent="0.25">
      <c r="A32" s="4">
        <v>12</v>
      </c>
      <c r="B32" s="25">
        <v>618</v>
      </c>
      <c r="C32" s="25">
        <v>196</v>
      </c>
      <c r="D32" s="25">
        <f t="shared" si="8"/>
        <v>98</v>
      </c>
      <c r="E32" s="25">
        <v>19.100000000000001</v>
      </c>
      <c r="F32" s="25">
        <v>10.4</v>
      </c>
      <c r="G32" s="25">
        <f t="shared" si="9"/>
        <v>5.2</v>
      </c>
      <c r="H32" s="25">
        <v>25.8</v>
      </c>
      <c r="I32" s="25">
        <v>6.9</v>
      </c>
      <c r="J32" s="25">
        <f t="shared" si="10"/>
        <v>3.45</v>
      </c>
      <c r="K32" s="26">
        <v>6.46</v>
      </c>
      <c r="L32" s="31">
        <v>1.37</v>
      </c>
      <c r="M32" s="32">
        <f t="shared" si="11"/>
        <v>0.68500000000000005</v>
      </c>
      <c r="N32" s="29">
        <v>760</v>
      </c>
      <c r="O32" s="24">
        <v>321</v>
      </c>
      <c r="P32" s="25">
        <f t="shared" si="12"/>
        <v>160.5</v>
      </c>
      <c r="Q32" s="25">
        <v>8.9</v>
      </c>
      <c r="R32" s="25">
        <v>5.12</v>
      </c>
      <c r="S32" s="25">
        <f t="shared" si="14"/>
        <v>2.56</v>
      </c>
      <c r="T32" s="25">
        <v>31.2</v>
      </c>
      <c r="U32" s="25">
        <v>1.77</v>
      </c>
      <c r="V32" s="25">
        <f t="shared" si="15"/>
        <v>0.88500000000000001</v>
      </c>
      <c r="W32" s="25">
        <v>8.76</v>
      </c>
      <c r="X32" s="26">
        <v>1.4</v>
      </c>
      <c r="Y32" s="26">
        <f t="shared" si="13"/>
        <v>0.7</v>
      </c>
      <c r="AA32" s="34">
        <v>12</v>
      </c>
      <c r="AB32" s="34"/>
      <c r="AC32" s="34"/>
      <c r="AD32" s="34">
        <v>13.5</v>
      </c>
      <c r="AE32" s="34">
        <v>9.86</v>
      </c>
    </row>
    <row r="49" spans="1:31" ht="15" customHeight="1" thickBot="1" x14ac:dyDescent="0.3">
      <c r="A49" s="59" t="s">
        <v>16</v>
      </c>
      <c r="B49" s="60"/>
      <c r="C49" s="1"/>
      <c r="D49" s="1"/>
      <c r="E49" s="1"/>
      <c r="F49" s="1"/>
      <c r="G49" s="1"/>
      <c r="H49" s="1"/>
    </row>
    <row r="50" spans="1:31" ht="15.75" thickBot="1" x14ac:dyDescent="0.3">
      <c r="A50" s="61"/>
      <c r="B50" s="62"/>
      <c r="C50" s="65" t="s">
        <v>47</v>
      </c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7" t="s">
        <v>46</v>
      </c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9"/>
    </row>
    <row r="51" spans="1:31" ht="63" x14ac:dyDescent="0.25">
      <c r="A51" s="7" t="s">
        <v>2</v>
      </c>
      <c r="B51" s="7" t="s">
        <v>32</v>
      </c>
      <c r="C51" s="3" t="s">
        <v>3</v>
      </c>
      <c r="D51" s="3" t="s">
        <v>4</v>
      </c>
      <c r="E51" s="3" t="s">
        <v>20</v>
      </c>
      <c r="F51" s="3" t="s">
        <v>5</v>
      </c>
      <c r="G51" s="3" t="s">
        <v>6</v>
      </c>
      <c r="H51" s="3" t="s">
        <v>42</v>
      </c>
      <c r="I51" s="3" t="s">
        <v>5</v>
      </c>
      <c r="J51" s="3" t="s">
        <v>6</v>
      </c>
      <c r="K51" s="3" t="s">
        <v>44</v>
      </c>
      <c r="L51" s="8" t="s">
        <v>5</v>
      </c>
      <c r="M51" s="11" t="s">
        <v>6</v>
      </c>
      <c r="N51" s="10" t="s">
        <v>33</v>
      </c>
      <c r="O51" s="9" t="s">
        <v>7</v>
      </c>
      <c r="P51" s="3" t="s">
        <v>8</v>
      </c>
      <c r="Q51" s="3" t="s">
        <v>21</v>
      </c>
      <c r="R51" s="3" t="s">
        <v>5</v>
      </c>
      <c r="S51" s="3" t="s">
        <v>6</v>
      </c>
      <c r="T51" s="3" t="s">
        <v>43</v>
      </c>
      <c r="U51" s="3" t="s">
        <v>5</v>
      </c>
      <c r="V51" s="3" t="s">
        <v>6</v>
      </c>
      <c r="W51" s="3" t="s">
        <v>48</v>
      </c>
      <c r="X51" s="3" t="s">
        <v>5</v>
      </c>
      <c r="Y51" s="3" t="s">
        <v>6</v>
      </c>
      <c r="AA51" s="34" t="s">
        <v>51</v>
      </c>
      <c r="AB51" s="37" t="s">
        <v>49</v>
      </c>
      <c r="AC51" s="37" t="s">
        <v>52</v>
      </c>
      <c r="AD51" s="37" t="s">
        <v>50</v>
      </c>
      <c r="AE51" s="34" t="s">
        <v>53</v>
      </c>
    </row>
    <row r="52" spans="1:31" ht="15.75" x14ac:dyDescent="0.25">
      <c r="A52" s="4">
        <v>0</v>
      </c>
      <c r="B52" s="25">
        <v>1030</v>
      </c>
      <c r="C52" s="25">
        <v>76.599999999999994</v>
      </c>
      <c r="D52" s="25">
        <f>C52/2</f>
        <v>38.299999999999997</v>
      </c>
      <c r="E52" s="25">
        <v>13.7</v>
      </c>
      <c r="F52" s="25">
        <v>1.17</v>
      </c>
      <c r="G52" s="25">
        <f>F52/2</f>
        <v>0.58499999999999996</v>
      </c>
      <c r="H52" s="25">
        <v>38.299999999999997</v>
      </c>
      <c r="I52" s="25">
        <v>1.01</v>
      </c>
      <c r="J52" s="25">
        <f>I52/2</f>
        <v>0.505</v>
      </c>
      <c r="K52" s="26">
        <v>11.6</v>
      </c>
      <c r="L52" s="31">
        <v>0.55300000000000005</v>
      </c>
      <c r="M52" s="32">
        <f>L52/2</f>
        <v>0.27650000000000002</v>
      </c>
      <c r="N52" s="24">
        <v>1030</v>
      </c>
      <c r="O52" s="24">
        <v>76.599999999999994</v>
      </c>
      <c r="P52" s="25">
        <f>O52/2</f>
        <v>38.299999999999997</v>
      </c>
      <c r="Q52" s="26">
        <v>13.7</v>
      </c>
      <c r="R52" s="25">
        <v>1.17</v>
      </c>
      <c r="S52" s="25">
        <f>R52/2</f>
        <v>0.58499999999999996</v>
      </c>
      <c r="T52" s="26">
        <v>38.299999999999997</v>
      </c>
      <c r="U52" s="25">
        <v>1.01</v>
      </c>
      <c r="V52" s="25">
        <f>U52/2</f>
        <v>0.505</v>
      </c>
      <c r="W52" s="26">
        <v>11.6</v>
      </c>
      <c r="X52" s="26">
        <v>0.55300000000000005</v>
      </c>
      <c r="Y52" s="26">
        <f>X52/2</f>
        <v>0.27650000000000002</v>
      </c>
      <c r="AA52" s="34">
        <v>0</v>
      </c>
      <c r="AB52" s="34"/>
      <c r="AC52" s="34"/>
      <c r="AD52" s="34"/>
      <c r="AE52" s="34"/>
    </row>
    <row r="53" spans="1:31" ht="15.75" x14ac:dyDescent="0.25">
      <c r="A53" s="4">
        <v>3</v>
      </c>
      <c r="B53" s="25">
        <v>882</v>
      </c>
      <c r="C53" s="25">
        <v>24.6</v>
      </c>
      <c r="D53" s="25">
        <f t="shared" ref="D53:D56" si="16">C53/2</f>
        <v>12.3</v>
      </c>
      <c r="E53" s="25">
        <v>17.399999999999999</v>
      </c>
      <c r="F53" s="25">
        <v>3.75</v>
      </c>
      <c r="G53" s="25">
        <f t="shared" ref="G53:G56" si="17">F53/2</f>
        <v>1.875</v>
      </c>
      <c r="H53" s="25">
        <v>39</v>
      </c>
      <c r="I53" s="25">
        <v>6.66</v>
      </c>
      <c r="J53" s="25">
        <f t="shared" ref="J53:J56" si="18">I53/2</f>
        <v>3.33</v>
      </c>
      <c r="K53" s="26">
        <v>9.57</v>
      </c>
      <c r="L53" s="31">
        <v>1.1399999999999999</v>
      </c>
      <c r="M53" s="32">
        <f t="shared" ref="M53:M56" si="19">L53/2</f>
        <v>0.56999999999999995</v>
      </c>
      <c r="N53" s="27">
        <v>955</v>
      </c>
      <c r="O53" s="28">
        <v>140</v>
      </c>
      <c r="P53" s="25">
        <f t="shared" ref="P53:P56" si="20">O53/2</f>
        <v>70</v>
      </c>
      <c r="Q53" s="25">
        <v>15.1</v>
      </c>
      <c r="R53" s="25">
        <v>3.22</v>
      </c>
      <c r="S53" s="25">
        <f>R53/2</f>
        <v>1.61</v>
      </c>
      <c r="T53" s="25">
        <v>41.1</v>
      </c>
      <c r="U53" s="25">
        <v>1.73</v>
      </c>
      <c r="V53" s="25">
        <f>U53/2</f>
        <v>0.86499999999999999</v>
      </c>
      <c r="W53" s="25">
        <v>10.3</v>
      </c>
      <c r="X53" s="26">
        <v>0.72099999999999997</v>
      </c>
      <c r="Y53" s="26">
        <f t="shared" ref="Y53:Y56" si="21">X53/2</f>
        <v>0.36049999999999999</v>
      </c>
      <c r="AA53" s="34">
        <v>3</v>
      </c>
      <c r="AB53" s="34"/>
      <c r="AC53" s="34"/>
      <c r="AD53" s="34"/>
      <c r="AE53" s="34"/>
    </row>
    <row r="54" spans="1:31" ht="15.75" x14ac:dyDescent="0.25">
      <c r="A54" s="5">
        <v>6</v>
      </c>
      <c r="B54" s="30">
        <v>902</v>
      </c>
      <c r="C54" s="30">
        <v>21</v>
      </c>
      <c r="D54" s="25">
        <f t="shared" si="16"/>
        <v>10.5</v>
      </c>
      <c r="E54" s="30">
        <v>16.600000000000001</v>
      </c>
      <c r="F54" s="30">
        <v>1.86</v>
      </c>
      <c r="G54" s="25">
        <f t="shared" si="17"/>
        <v>0.93</v>
      </c>
      <c r="H54" s="30">
        <v>37.700000000000003</v>
      </c>
      <c r="I54" s="30">
        <v>5.37</v>
      </c>
      <c r="J54" s="25">
        <f t="shared" si="18"/>
        <v>2.6850000000000001</v>
      </c>
      <c r="K54" s="26">
        <v>8.66</v>
      </c>
      <c r="L54" s="31">
        <v>1.42</v>
      </c>
      <c r="M54" s="32">
        <f t="shared" si="19"/>
        <v>0.71</v>
      </c>
      <c r="N54" s="29">
        <v>910</v>
      </c>
      <c r="O54" s="29">
        <v>27.8</v>
      </c>
      <c r="P54" s="25">
        <f t="shared" si="20"/>
        <v>13.9</v>
      </c>
      <c r="Q54" s="30">
        <v>14.8</v>
      </c>
      <c r="R54" s="30">
        <v>1.77</v>
      </c>
      <c r="S54" s="25">
        <f t="shared" ref="S54:S56" si="22">R54/2</f>
        <v>0.88500000000000001</v>
      </c>
      <c r="T54" s="30">
        <v>35.799999999999997</v>
      </c>
      <c r="U54" s="30">
        <v>4.28</v>
      </c>
      <c r="V54" s="25">
        <f t="shared" ref="V54:V56" si="23">U54/2</f>
        <v>2.14</v>
      </c>
      <c r="W54" s="30">
        <v>8.93</v>
      </c>
      <c r="X54" s="26">
        <v>1.37</v>
      </c>
      <c r="Y54" s="26">
        <f t="shared" si="21"/>
        <v>0.68500000000000005</v>
      </c>
      <c r="AA54" s="34">
        <v>6</v>
      </c>
      <c r="AB54" s="34"/>
      <c r="AC54" s="34"/>
      <c r="AD54" s="34"/>
      <c r="AE54" s="34"/>
    </row>
    <row r="55" spans="1:31" ht="15.75" x14ac:dyDescent="0.25">
      <c r="A55" s="4">
        <v>9</v>
      </c>
      <c r="B55" s="25">
        <v>959</v>
      </c>
      <c r="C55" s="25">
        <v>49.3</v>
      </c>
      <c r="D55" s="25">
        <f t="shared" si="16"/>
        <v>24.65</v>
      </c>
      <c r="E55" s="25">
        <v>14.3</v>
      </c>
      <c r="F55" s="25">
        <v>0.88300000000000001</v>
      </c>
      <c r="G55" s="25">
        <f t="shared" si="17"/>
        <v>0.4415</v>
      </c>
      <c r="H55" s="25">
        <v>39.200000000000003</v>
      </c>
      <c r="I55" s="25">
        <v>0.97699999999999998</v>
      </c>
      <c r="J55" s="25">
        <f t="shared" si="18"/>
        <v>0.48849999999999999</v>
      </c>
      <c r="K55" s="26">
        <v>10.199999999999999</v>
      </c>
      <c r="L55" s="31">
        <v>0.61499999999999999</v>
      </c>
      <c r="M55" s="32">
        <f t="shared" si="19"/>
        <v>0.3075</v>
      </c>
      <c r="N55" s="29">
        <v>885</v>
      </c>
      <c r="O55" s="24">
        <v>22.5</v>
      </c>
      <c r="P55" s="25">
        <f t="shared" si="20"/>
        <v>11.25</v>
      </c>
      <c r="Q55" s="25">
        <v>13.5</v>
      </c>
      <c r="R55" s="25">
        <v>1.21</v>
      </c>
      <c r="S55" s="25">
        <f t="shared" si="22"/>
        <v>0.60499999999999998</v>
      </c>
      <c r="T55" s="25">
        <v>35.1</v>
      </c>
      <c r="U55" s="25">
        <v>3.81</v>
      </c>
      <c r="V55" s="25">
        <f t="shared" si="23"/>
        <v>1.905</v>
      </c>
      <c r="W55" s="25">
        <v>10.4</v>
      </c>
      <c r="X55" s="26">
        <v>1.76</v>
      </c>
      <c r="Y55" s="26">
        <f t="shared" si="21"/>
        <v>0.88</v>
      </c>
      <c r="AA55" s="34">
        <v>9</v>
      </c>
      <c r="AB55" s="34"/>
      <c r="AC55" s="34"/>
      <c r="AD55" s="34"/>
      <c r="AE55" s="34"/>
    </row>
    <row r="56" spans="1:31" ht="15.75" x14ac:dyDescent="0.25">
      <c r="A56" s="4">
        <v>12</v>
      </c>
      <c r="B56" s="25">
        <v>979</v>
      </c>
      <c r="C56" s="25">
        <v>34.5</v>
      </c>
      <c r="D56" s="25">
        <f t="shared" si="16"/>
        <v>17.25</v>
      </c>
      <c r="E56" s="25">
        <v>13.1</v>
      </c>
      <c r="F56" s="25">
        <v>1.47</v>
      </c>
      <c r="G56" s="25">
        <f t="shared" si="17"/>
        <v>0.73499999999999999</v>
      </c>
      <c r="H56" s="25">
        <v>36</v>
      </c>
      <c r="I56" s="25">
        <v>2.19</v>
      </c>
      <c r="J56" s="25">
        <f t="shared" si="18"/>
        <v>1.095</v>
      </c>
      <c r="K56" s="26">
        <v>8.2799999999999994</v>
      </c>
      <c r="L56" s="31">
        <v>0.6</v>
      </c>
      <c r="M56" s="32">
        <f t="shared" si="19"/>
        <v>0.3</v>
      </c>
      <c r="N56" s="29">
        <v>766</v>
      </c>
      <c r="O56" s="24">
        <v>316</v>
      </c>
      <c r="P56" s="25">
        <f t="shared" si="20"/>
        <v>158</v>
      </c>
      <c r="Q56" s="25">
        <v>10.6</v>
      </c>
      <c r="R56" s="25">
        <v>1.97</v>
      </c>
      <c r="S56" s="25">
        <f t="shared" si="22"/>
        <v>0.98499999999999999</v>
      </c>
      <c r="T56" s="25">
        <v>33</v>
      </c>
      <c r="U56" s="25">
        <v>1.77</v>
      </c>
      <c r="V56" s="25">
        <f t="shared" si="23"/>
        <v>0.88500000000000001</v>
      </c>
      <c r="W56" s="25">
        <v>8.7799999999999994</v>
      </c>
      <c r="X56" s="26">
        <v>1.47</v>
      </c>
      <c r="Y56" s="26">
        <f t="shared" si="21"/>
        <v>0.73499999999999999</v>
      </c>
      <c r="AA56" s="34">
        <v>12</v>
      </c>
      <c r="AB56" s="34"/>
      <c r="AC56" s="34"/>
      <c r="AD56" s="34"/>
      <c r="AE56" s="34"/>
    </row>
    <row r="75" spans="5:5" x14ac:dyDescent="0.25">
      <c r="E75" s="33"/>
    </row>
    <row r="78" spans="5:5" x14ac:dyDescent="0.25">
      <c r="E78" s="33"/>
    </row>
  </sheetData>
  <mergeCells count="9">
    <mergeCell ref="A1:B2"/>
    <mergeCell ref="A25:B26"/>
    <mergeCell ref="A49:B50"/>
    <mergeCell ref="C2:M2"/>
    <mergeCell ref="N2:Y2"/>
    <mergeCell ref="C26:M26"/>
    <mergeCell ref="N26:Y26"/>
    <mergeCell ref="C50:M50"/>
    <mergeCell ref="N50:Y50"/>
  </mergeCells>
  <printOptions horizontalCentered="1" verticalCentered="1"/>
  <pageMargins left="0" right="0" top="0" bottom="0" header="0" footer="0"/>
  <pageSetup paperSize="9" scale="3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26A4-5271-4E61-BAF1-DE07212135A6}">
  <dimension ref="A2:C7"/>
  <sheetViews>
    <sheetView workbookViewId="0">
      <selection activeCell="F10" sqref="F10"/>
    </sheetView>
  </sheetViews>
  <sheetFormatPr baseColWidth="10" defaultColWidth="9.140625" defaultRowHeight="15" x14ac:dyDescent="0.25"/>
  <cols>
    <col min="1" max="1" width="18.85546875" style="34" customWidth="1"/>
    <col min="2" max="2" width="25.5703125" style="34" customWidth="1"/>
    <col min="3" max="3" width="12.42578125" style="34" customWidth="1"/>
    <col min="4" max="16384" width="9.140625" style="34"/>
  </cols>
  <sheetData>
    <row r="2" spans="1:3" ht="33.75" customHeight="1" x14ac:dyDescent="0.25">
      <c r="A2" s="34" t="s">
        <v>23</v>
      </c>
      <c r="B2" s="34" t="s">
        <v>24</v>
      </c>
      <c r="C2" s="34" t="s">
        <v>25</v>
      </c>
    </row>
    <row r="3" spans="1:3" x14ac:dyDescent="0.25">
      <c r="A3" s="34" t="s">
        <v>22</v>
      </c>
      <c r="B3" s="34" t="s">
        <v>26</v>
      </c>
      <c r="C3" s="35" t="s">
        <v>27</v>
      </c>
    </row>
    <row r="4" spans="1:3" x14ac:dyDescent="0.25">
      <c r="A4" s="36" t="s">
        <v>30</v>
      </c>
      <c r="B4" s="34" t="s">
        <v>29</v>
      </c>
      <c r="C4" s="34" t="s">
        <v>28</v>
      </c>
    </row>
    <row r="5" spans="1:3" x14ac:dyDescent="0.25">
      <c r="A5" s="34" t="s">
        <v>41</v>
      </c>
      <c r="B5" s="34" t="s">
        <v>40</v>
      </c>
      <c r="C5" s="34" t="s">
        <v>39</v>
      </c>
    </row>
    <row r="6" spans="1:3" x14ac:dyDescent="0.25">
      <c r="A6" s="12" t="s">
        <v>31</v>
      </c>
      <c r="B6" s="12" t="s">
        <v>34</v>
      </c>
      <c r="C6" s="12" t="s">
        <v>35</v>
      </c>
    </row>
    <row r="7" spans="1:3" x14ac:dyDescent="0.25">
      <c r="A7" s="12" t="s">
        <v>36</v>
      </c>
      <c r="B7" s="12" t="s">
        <v>37</v>
      </c>
      <c r="C7" s="12" t="s">
        <v>38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d2147e-7988-4fcf-ad0c-52bc379c8a34" xsi:nil="true"/>
    <lcf76f155ced4ddcb4097134ff3c332f xmlns="35701795-6006-4863-8082-d51d28cabaa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A91340AA816B44D841116FDC3E86C24" ma:contentTypeVersion="12" ma:contentTypeDescription="Opprett et nytt dokument." ma:contentTypeScope="" ma:versionID="899300921ba559a9e06644923e6a6894">
  <xsd:schema xmlns:xsd="http://www.w3.org/2001/XMLSchema" xmlns:xs="http://www.w3.org/2001/XMLSchema" xmlns:p="http://schemas.microsoft.com/office/2006/metadata/properties" xmlns:ns2="35701795-6006-4863-8082-d51d28cabaae" xmlns:ns3="4bd2147e-7988-4fcf-ad0c-52bc379c8a34" targetNamespace="http://schemas.microsoft.com/office/2006/metadata/properties" ma:root="true" ma:fieldsID="24a2b468d1e527283b65a6a379b7c8b3" ns2:_="" ns3:_="">
    <xsd:import namespace="35701795-6006-4863-8082-d51d28cabaae"/>
    <xsd:import namespace="4bd2147e-7988-4fcf-ad0c-52bc379c8a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701795-6006-4863-8082-d51d28caba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emerkelapper" ma:readOnly="false" ma:fieldId="{5cf76f15-5ced-4ddc-b409-7134ff3c332f}" ma:taxonomyMulti="true" ma:sspId="7d912fff-f0be-4533-ba2b-d4ff65658f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d2147e-7988-4fcf-ad0c-52bc379c8a34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15f7bd40-5646-4e53-ad70-e237f2fbaa3a}" ma:internalName="TaxCatchAll" ma:showField="CatchAllData" ma:web="4bd2147e-7988-4fcf-ad0c-52bc379c8a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B3CE0F-E862-4182-AEDE-D38E44120FD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40EF8F-303F-4575-A2AD-0CE9A481087E}">
  <ds:schemaRefs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purl.org/dc/dcmitype/"/>
    <ds:schemaRef ds:uri="4bd2147e-7988-4fcf-ad0c-52bc379c8a34"/>
    <ds:schemaRef ds:uri="http://www.w3.org/XML/1998/namespace"/>
    <ds:schemaRef ds:uri="35701795-6006-4863-8082-d51d28cabaae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ABF31E14-B238-4FF2-8719-CC5541D055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701795-6006-4863-8082-d51d28cabaae"/>
    <ds:schemaRef ds:uri="4bd2147e-7988-4fcf-ad0c-52bc379c8a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5</vt:i4>
      </vt:variant>
    </vt:vector>
  </HeadingPairs>
  <TitlesOfParts>
    <vt:vector size="5" baseType="lpstr">
      <vt:lpstr>Sammenligning</vt:lpstr>
      <vt:lpstr>PLA</vt:lpstr>
      <vt:lpstr>PETG</vt:lpstr>
      <vt:lpstr>ASA</vt:lpstr>
      <vt:lpstr>ordliste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Christer Markussen Jusnes</cp:lastModifiedBy>
  <cp:revision/>
  <cp:lastPrinted>2026-05-14T12:47:32Z</cp:lastPrinted>
  <dcterms:created xsi:type="dcterms:W3CDTF">2026-03-04T00:42:17Z</dcterms:created>
  <dcterms:modified xsi:type="dcterms:W3CDTF">2026-05-19T08:59:27Z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0x0101008A91340AA816B44D841116FDC3E86C24</vt:lpwstr>
  </property>
  <property fmtid="{D5CDD505-2E9C-101B-9397-08002B2CF9AE}" pid="3" name="MediaServiceImageTags">
    <vt:lpwstr/>
  </property>
</Properties>
</file>