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eron\OneDrive\Dokumenter\Bachelor\Rapporten\Vedlegg\"/>
    </mc:Choice>
  </mc:AlternateContent>
  <xr:revisionPtr revIDLastSave="0" documentId="8_{BB8DF7EB-E40F-40E3-93FC-7F3C59241BFC}" xr6:coauthVersionLast="47" xr6:coauthVersionMax="47" xr10:uidLastSave="{00000000-0000-0000-0000-000000000000}"/>
  <bookViews>
    <workbookView xWindow="-110" yWindow="-110" windowWidth="25820" windowHeight="15500" firstSheet="9" activeTab="13" xr2:uid="{24930AB5-8186-4BE2-93F7-C90FAE8797BB}"/>
  </bookViews>
  <sheets>
    <sheet name="PLA - Vektregistrering" sheetId="1" r:id="rId1"/>
    <sheet name="PLA - Resultatberegninger" sheetId="24" r:id="rId2"/>
    <sheet name="PLA - Mellomregning" sheetId="33" r:id="rId3"/>
    <sheet name="PLA-Diagram" sheetId="37" r:id="rId4"/>
    <sheet name="PLA - Prosent" sheetId="29" r:id="rId5"/>
    <sheet name="PETG - Vektregistrering" sheetId="2" r:id="rId6"/>
    <sheet name="PETG - Resultatberegninger" sheetId="19" r:id="rId7"/>
    <sheet name="PETG - Mellomregning" sheetId="32" r:id="rId8"/>
    <sheet name="PETG - Diagrammer" sheetId="31" r:id="rId9"/>
    <sheet name="PETG - Prosent" sheetId="28" r:id="rId10"/>
    <sheet name="ASA - Vektregistrering" sheetId="3" r:id="rId11"/>
    <sheet name="ASA - Resultatberegninger" sheetId="20" r:id="rId12"/>
    <sheet name="ASA - Mellomregning" sheetId="36" r:id="rId13"/>
    <sheet name="ASA - Diagrammer" sheetId="35" r:id="rId14"/>
    <sheet name="ASA - Prosent" sheetId="30" r:id="rId15"/>
    <sheet name="Prosent - samlet" sheetId="39"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29" l="1"/>
  <c r="D17" i="29"/>
  <c r="E17" i="29" s="1"/>
  <c r="C17" i="29"/>
  <c r="E8" i="29"/>
  <c r="E9" i="29"/>
  <c r="E10" i="29"/>
  <c r="E11" i="29"/>
  <c r="E12" i="29"/>
  <c r="E13" i="29"/>
  <c r="E14" i="29"/>
  <c r="E15" i="29"/>
  <c r="E16" i="29"/>
  <c r="E7" i="29"/>
  <c r="E15" i="30"/>
  <c r="E16" i="30"/>
  <c r="E17" i="30"/>
  <c r="E18" i="30"/>
  <c r="E18" i="28"/>
  <c r="E17" i="28"/>
  <c r="E16" i="28"/>
  <c r="E15" i="28"/>
  <c r="E14" i="28"/>
  <c r="E13" i="28"/>
  <c r="E12" i="28"/>
  <c r="E11" i="28"/>
  <c r="E10" i="28"/>
  <c r="E9" i="28"/>
  <c r="E8" i="28"/>
  <c r="E7" i="28"/>
  <c r="E8" i="30"/>
  <c r="E9" i="30"/>
  <c r="E10" i="30"/>
  <c r="E11" i="30"/>
  <c r="E12" i="30"/>
  <c r="E13" i="30"/>
  <c r="E14" i="30"/>
  <c r="E7" i="30"/>
  <c r="I41" i="33"/>
  <c r="H42" i="33"/>
  <c r="G41" i="33"/>
  <c r="G40" i="33"/>
  <c r="F42" i="33"/>
  <c r="F41" i="33"/>
  <c r="M43" i="33"/>
  <c r="L41" i="33"/>
  <c r="K43" i="33"/>
  <c r="K41" i="33"/>
  <c r="K40" i="33"/>
  <c r="J43" i="33"/>
  <c r="J41" i="33"/>
  <c r="J40" i="33"/>
  <c r="D63" i="37"/>
  <c r="D58" i="33"/>
  <c r="J69" i="24"/>
  <c r="G13" i="37"/>
  <c r="F13" i="37"/>
  <c r="C40" i="36"/>
  <c r="G84" i="36" l="1"/>
  <c r="F84" i="36"/>
  <c r="G86" i="36"/>
  <c r="F86" i="36"/>
  <c r="E86" i="36"/>
  <c r="D86" i="36"/>
  <c r="C86" i="36"/>
  <c r="B86" i="36"/>
  <c r="G85" i="36"/>
  <c r="F85" i="36"/>
  <c r="E85" i="36"/>
  <c r="D85" i="36"/>
  <c r="C85" i="36"/>
  <c r="B85" i="36"/>
  <c r="E84" i="36"/>
  <c r="D84" i="36"/>
  <c r="C84" i="36"/>
  <c r="B84" i="36"/>
  <c r="G83" i="36"/>
  <c r="F83" i="36"/>
  <c r="E83" i="36"/>
  <c r="D83" i="36"/>
  <c r="C83" i="36"/>
  <c r="B83" i="36"/>
  <c r="M43" i="36"/>
  <c r="L43" i="36"/>
  <c r="K43" i="36"/>
  <c r="J43" i="36"/>
  <c r="I43" i="36"/>
  <c r="H43" i="36"/>
  <c r="G43" i="36"/>
  <c r="F43" i="36"/>
  <c r="E43" i="36"/>
  <c r="D43" i="36"/>
  <c r="C43" i="36"/>
  <c r="B43" i="36"/>
  <c r="I42" i="36"/>
  <c r="H42" i="36"/>
  <c r="G42" i="36"/>
  <c r="F42" i="36"/>
  <c r="E42" i="36"/>
  <c r="D42" i="36"/>
  <c r="C42" i="36"/>
  <c r="B42" i="36"/>
  <c r="M41" i="36"/>
  <c r="L41" i="36"/>
  <c r="K41" i="36"/>
  <c r="J41" i="36"/>
  <c r="I41" i="36"/>
  <c r="H41" i="36"/>
  <c r="G41" i="36"/>
  <c r="F41" i="36"/>
  <c r="E41" i="36"/>
  <c r="D41" i="36"/>
  <c r="C41" i="36"/>
  <c r="B41" i="36"/>
  <c r="M40" i="36"/>
  <c r="L40" i="36"/>
  <c r="K40" i="36"/>
  <c r="J40" i="36"/>
  <c r="I40" i="36"/>
  <c r="H40" i="36"/>
  <c r="G40" i="36"/>
  <c r="F40" i="36"/>
  <c r="E40" i="36"/>
  <c r="D40" i="36"/>
  <c r="B40" i="36"/>
  <c r="L42" i="36"/>
  <c r="J42" i="36"/>
  <c r="M42" i="36"/>
  <c r="K42" i="36"/>
  <c r="M28" i="33"/>
  <c r="L28" i="33"/>
  <c r="K28" i="33"/>
  <c r="J28" i="33"/>
  <c r="J42" i="33" s="1"/>
  <c r="G15" i="33"/>
  <c r="F15" i="33"/>
  <c r="K42" i="33" s="1"/>
  <c r="G83" i="33"/>
  <c r="F83" i="33"/>
  <c r="E83" i="33"/>
  <c r="D83" i="33"/>
  <c r="C83" i="33"/>
  <c r="B83" i="33"/>
  <c r="G86" i="33"/>
  <c r="E86" i="33"/>
  <c r="C86" i="33"/>
  <c r="G85" i="33"/>
  <c r="E85" i="33"/>
  <c r="C85" i="33"/>
  <c r="F84" i="33"/>
  <c r="E84" i="33"/>
  <c r="C84" i="33"/>
  <c r="L43" i="33"/>
  <c r="I43" i="33"/>
  <c r="H43" i="33"/>
  <c r="G43" i="33"/>
  <c r="F43" i="33"/>
  <c r="E43" i="33"/>
  <c r="D43" i="33"/>
  <c r="C43" i="33"/>
  <c r="B43" i="33"/>
  <c r="M41" i="33"/>
  <c r="D41" i="33"/>
  <c r="C41" i="33"/>
  <c r="B41" i="33"/>
  <c r="M40" i="33"/>
  <c r="L40" i="33"/>
  <c r="I40" i="33"/>
  <c r="H40" i="33"/>
  <c r="F40" i="33"/>
  <c r="I42" i="33"/>
  <c r="G42" i="33"/>
  <c r="E42" i="33"/>
  <c r="C42" i="33"/>
  <c r="E41" i="33"/>
  <c r="E40" i="33"/>
  <c r="C40" i="33"/>
  <c r="J128" i="24"/>
  <c r="J127" i="24"/>
  <c r="J126" i="24"/>
  <c r="J125" i="24"/>
  <c r="L124" i="24"/>
  <c r="J124" i="24"/>
  <c r="M124" i="24" s="1"/>
  <c r="N123" i="24"/>
  <c r="J123" i="24"/>
  <c r="N122" i="24"/>
  <c r="Q119" i="24" s="1"/>
  <c r="J122" i="24"/>
  <c r="L119" i="24" s="1"/>
  <c r="N121" i="24"/>
  <c r="J121" i="24"/>
  <c r="N120" i="24"/>
  <c r="P119" i="24" s="1"/>
  <c r="J120" i="24"/>
  <c r="N119" i="24"/>
  <c r="J119" i="24"/>
  <c r="M119" i="24" s="1"/>
  <c r="J118" i="24"/>
  <c r="J117" i="24"/>
  <c r="J116" i="24"/>
  <c r="J115" i="24"/>
  <c r="J114" i="24"/>
  <c r="J113" i="24"/>
  <c r="J112" i="24"/>
  <c r="J111" i="24"/>
  <c r="J110" i="24"/>
  <c r="J109" i="24"/>
  <c r="K109" i="24" s="1"/>
  <c r="J108" i="24"/>
  <c r="M104" i="24" s="1"/>
  <c r="J107" i="24"/>
  <c r="J106" i="24"/>
  <c r="J105" i="24"/>
  <c r="J104" i="24"/>
  <c r="L104" i="24" s="1"/>
  <c r="N103" i="24"/>
  <c r="J103" i="24"/>
  <c r="N102" i="24"/>
  <c r="J102" i="24"/>
  <c r="M99" i="24" s="1"/>
  <c r="N101" i="24"/>
  <c r="J101" i="24"/>
  <c r="N100" i="24"/>
  <c r="J100" i="24"/>
  <c r="L99" i="24" s="1"/>
  <c r="N99" i="24"/>
  <c r="J99" i="24"/>
  <c r="K99" i="24" s="1"/>
  <c r="J98" i="24"/>
  <c r="L94" i="24" s="1"/>
  <c r="J97" i="24"/>
  <c r="J96" i="24"/>
  <c r="J95" i="24"/>
  <c r="J94" i="24"/>
  <c r="M94" i="24" s="1"/>
  <c r="N93" i="24"/>
  <c r="J93" i="24"/>
  <c r="N92" i="24"/>
  <c r="J92" i="24"/>
  <c r="N91" i="24"/>
  <c r="J91" i="24"/>
  <c r="N90" i="24"/>
  <c r="J90" i="24"/>
  <c r="N89" i="24"/>
  <c r="O89" i="24" s="1"/>
  <c r="L89" i="24"/>
  <c r="J89" i="24"/>
  <c r="M89" i="24" s="1"/>
  <c r="J87" i="24"/>
  <c r="L83" i="24" s="1"/>
  <c r="J86" i="24"/>
  <c r="J85" i="24"/>
  <c r="J84" i="24"/>
  <c r="J83" i="24"/>
  <c r="M83" i="24" s="1"/>
  <c r="N82" i="24"/>
  <c r="J82" i="24"/>
  <c r="N81" i="24"/>
  <c r="J81" i="24"/>
  <c r="L78" i="24" s="1"/>
  <c r="N80" i="24"/>
  <c r="J80" i="24"/>
  <c r="N79" i="24"/>
  <c r="J79" i="24"/>
  <c r="N78" i="24"/>
  <c r="O78" i="24" s="1"/>
  <c r="J78" i="24"/>
  <c r="M78" i="24" s="1"/>
  <c r="J77" i="24"/>
  <c r="L73" i="24" s="1"/>
  <c r="J76" i="24"/>
  <c r="M73" i="24" s="1"/>
  <c r="J75" i="24"/>
  <c r="J74" i="24"/>
  <c r="J73" i="24"/>
  <c r="N72" i="24"/>
  <c r="J72" i="24"/>
  <c r="N71" i="24"/>
  <c r="J71" i="24"/>
  <c r="M68" i="24" s="1"/>
  <c r="N70" i="24"/>
  <c r="J70" i="24"/>
  <c r="N69" i="24"/>
  <c r="N68" i="24"/>
  <c r="L68" i="24"/>
  <c r="J68" i="24"/>
  <c r="K68" i="24" s="1"/>
  <c r="J67" i="24"/>
  <c r="M63" i="24" s="1"/>
  <c r="J66" i="24"/>
  <c r="J65" i="24"/>
  <c r="J64" i="24"/>
  <c r="J63" i="24"/>
  <c r="L63" i="24" s="1"/>
  <c r="N62" i="24"/>
  <c r="J62" i="24"/>
  <c r="N61" i="24"/>
  <c r="J61" i="24"/>
  <c r="M58" i="24" s="1"/>
  <c r="N60" i="24"/>
  <c r="J60" i="24"/>
  <c r="N59" i="24"/>
  <c r="J59" i="24"/>
  <c r="L58" i="24" s="1"/>
  <c r="N58" i="24"/>
  <c r="J58" i="24"/>
  <c r="K58" i="24" s="1"/>
  <c r="J57" i="24"/>
  <c r="L53" i="24" s="1"/>
  <c r="J56" i="24"/>
  <c r="J55" i="24"/>
  <c r="J54" i="24"/>
  <c r="J53" i="24"/>
  <c r="M53" i="24" s="1"/>
  <c r="N52" i="24"/>
  <c r="J52" i="24"/>
  <c r="N51" i="24"/>
  <c r="J51" i="24"/>
  <c r="N50" i="24"/>
  <c r="J50" i="24"/>
  <c r="N49" i="24"/>
  <c r="J49" i="24"/>
  <c r="L48" i="24" s="1"/>
  <c r="N48" i="24"/>
  <c r="O48" i="24" s="1"/>
  <c r="J48" i="24"/>
  <c r="M48" i="24" s="1"/>
  <c r="J46" i="24"/>
  <c r="L42" i="24" s="1"/>
  <c r="J45" i="24"/>
  <c r="J44" i="24"/>
  <c r="J43" i="24"/>
  <c r="J42" i="24"/>
  <c r="M42" i="24" s="1"/>
  <c r="N41" i="24"/>
  <c r="J41" i="24"/>
  <c r="N40" i="24"/>
  <c r="J40" i="24"/>
  <c r="L37" i="24" s="1"/>
  <c r="N39" i="24"/>
  <c r="J39" i="24"/>
  <c r="N38" i="24"/>
  <c r="J38" i="24"/>
  <c r="N37" i="24"/>
  <c r="J37" i="24"/>
  <c r="M37" i="24" s="1"/>
  <c r="J36" i="24"/>
  <c r="L32" i="24" s="1"/>
  <c r="J35" i="24"/>
  <c r="J34" i="24"/>
  <c r="J33" i="24"/>
  <c r="M32" i="24"/>
  <c r="J32" i="24"/>
  <c r="N31" i="24"/>
  <c r="J31" i="24"/>
  <c r="N30" i="24"/>
  <c r="J30" i="24"/>
  <c r="M27" i="24" s="1"/>
  <c r="N29" i="24"/>
  <c r="J29" i="24"/>
  <c r="N28" i="24"/>
  <c r="J28" i="24"/>
  <c r="N27" i="24"/>
  <c r="L27" i="24"/>
  <c r="J27" i="24"/>
  <c r="J26" i="24"/>
  <c r="M22" i="24" s="1"/>
  <c r="J25" i="24"/>
  <c r="J24" i="24"/>
  <c r="J23" i="24"/>
  <c r="J22" i="24"/>
  <c r="L22" i="24" s="1"/>
  <c r="N21" i="24"/>
  <c r="J21" i="24"/>
  <c r="N20" i="24"/>
  <c r="J20" i="24"/>
  <c r="M17" i="24" s="1"/>
  <c r="N19" i="24"/>
  <c r="J19" i="24"/>
  <c r="N18" i="24"/>
  <c r="J18" i="24"/>
  <c r="L17" i="24" s="1"/>
  <c r="N17" i="24"/>
  <c r="J17" i="24"/>
  <c r="K17" i="24" s="1"/>
  <c r="J16" i="24"/>
  <c r="L12" i="24" s="1"/>
  <c r="J15" i="24"/>
  <c r="J14" i="24"/>
  <c r="J13" i="24"/>
  <c r="J12" i="24"/>
  <c r="M12" i="24" s="1"/>
  <c r="N11" i="24"/>
  <c r="Q7" i="24" s="1"/>
  <c r="J11" i="24"/>
  <c r="N10" i="24"/>
  <c r="J10" i="24"/>
  <c r="N9" i="24"/>
  <c r="J9" i="24"/>
  <c r="N8" i="24"/>
  <c r="J8" i="24"/>
  <c r="L7" i="24" s="1"/>
  <c r="P7" i="24"/>
  <c r="N7" i="24"/>
  <c r="J7" i="24"/>
  <c r="M7" i="24" s="1"/>
  <c r="J127" i="20"/>
  <c r="M123" i="20" s="1"/>
  <c r="J126" i="20"/>
  <c r="J125" i="20"/>
  <c r="J124" i="20"/>
  <c r="K123" i="20"/>
  <c r="J123" i="20"/>
  <c r="L123" i="20" s="1"/>
  <c r="N122" i="20"/>
  <c r="J122" i="20"/>
  <c r="M118" i="20" s="1"/>
  <c r="N121" i="20"/>
  <c r="J121" i="20"/>
  <c r="N120" i="20"/>
  <c r="J120" i="20"/>
  <c r="N119" i="20"/>
  <c r="P118" i="20" s="1"/>
  <c r="J119" i="20"/>
  <c r="N118" i="20"/>
  <c r="Q118" i="20" s="1"/>
  <c r="L118" i="20"/>
  <c r="J118" i="20"/>
  <c r="K118" i="20" s="1"/>
  <c r="J117" i="20"/>
  <c r="L113" i="20" s="1"/>
  <c r="J116" i="20"/>
  <c r="M113" i="20" s="1"/>
  <c r="J115" i="20"/>
  <c r="J114" i="20"/>
  <c r="J113" i="20"/>
  <c r="N112" i="20"/>
  <c r="J112" i="20"/>
  <c r="N111" i="20"/>
  <c r="J111" i="20"/>
  <c r="N110" i="20"/>
  <c r="P108" i="20" s="1"/>
  <c r="J110" i="20"/>
  <c r="M108" i="20" s="1"/>
  <c r="N109" i="20"/>
  <c r="J109" i="20"/>
  <c r="L108" i="20" s="1"/>
  <c r="N108" i="20"/>
  <c r="Q108" i="20" s="1"/>
  <c r="J108" i="20"/>
  <c r="J107" i="20"/>
  <c r="L103" i="20" s="1"/>
  <c r="J106" i="20"/>
  <c r="J105" i="20"/>
  <c r="M103" i="20" s="1"/>
  <c r="J104" i="20"/>
  <c r="J103" i="20"/>
  <c r="N102" i="20"/>
  <c r="J102" i="20"/>
  <c r="M98" i="20" s="1"/>
  <c r="N101" i="20"/>
  <c r="Q98" i="20" s="1"/>
  <c r="J101" i="20"/>
  <c r="N100" i="20"/>
  <c r="J100" i="20"/>
  <c r="L98" i="20" s="1"/>
  <c r="N99" i="20"/>
  <c r="P98" i="20" s="1"/>
  <c r="J99" i="20"/>
  <c r="N98" i="20"/>
  <c r="O98" i="20" s="1"/>
  <c r="J98" i="20"/>
  <c r="K98" i="20" s="1"/>
  <c r="J97" i="20"/>
  <c r="J96" i="20"/>
  <c r="M93" i="20" s="1"/>
  <c r="J95" i="20"/>
  <c r="L93" i="20" s="1"/>
  <c r="J94" i="20"/>
  <c r="J93" i="20"/>
  <c r="K93" i="20" s="1"/>
  <c r="N92" i="20"/>
  <c r="J92" i="20"/>
  <c r="L88" i="20" s="1"/>
  <c r="N91" i="20"/>
  <c r="Q88" i="20" s="1"/>
  <c r="J91" i="20"/>
  <c r="M88" i="20" s="1"/>
  <c r="N90" i="20"/>
  <c r="P88" i="20" s="1"/>
  <c r="J90" i="20"/>
  <c r="N89" i="20"/>
  <c r="J89" i="20"/>
  <c r="N88" i="20"/>
  <c r="J88" i="20"/>
  <c r="K88" i="20" s="1"/>
  <c r="J86" i="20"/>
  <c r="L82" i="20" s="1"/>
  <c r="J85" i="20"/>
  <c r="M82" i="20" s="1"/>
  <c r="J84" i="20"/>
  <c r="J83" i="20"/>
  <c r="J82" i="20"/>
  <c r="K82" i="20" s="1"/>
  <c r="N81" i="20"/>
  <c r="P77" i="20" s="1"/>
  <c r="J81" i="20"/>
  <c r="L77" i="20" s="1"/>
  <c r="N80" i="20"/>
  <c r="Q77" i="20" s="1"/>
  <c r="J80" i="20"/>
  <c r="N79" i="20"/>
  <c r="J79" i="20"/>
  <c r="N78" i="20"/>
  <c r="J78" i="20"/>
  <c r="M77" i="20" s="1"/>
  <c r="N77" i="20"/>
  <c r="J77" i="20"/>
  <c r="J76" i="20"/>
  <c r="M72" i="20" s="1"/>
  <c r="J75" i="20"/>
  <c r="J74" i="20"/>
  <c r="J73" i="20"/>
  <c r="J72" i="20"/>
  <c r="L72" i="20" s="1"/>
  <c r="N71" i="20"/>
  <c r="J71" i="20"/>
  <c r="N70" i="20"/>
  <c r="Q67" i="20" s="1"/>
  <c r="J70" i="20"/>
  <c r="M67" i="20" s="1"/>
  <c r="N69" i="20"/>
  <c r="J69" i="20"/>
  <c r="N68" i="20"/>
  <c r="P67" i="20" s="1"/>
  <c r="J68" i="20"/>
  <c r="L67" i="20" s="1"/>
  <c r="N67" i="20"/>
  <c r="J67" i="20"/>
  <c r="J66" i="20"/>
  <c r="L62" i="20" s="1"/>
  <c r="J65" i="20"/>
  <c r="J64" i="20"/>
  <c r="M62" i="20" s="1"/>
  <c r="J63" i="20"/>
  <c r="J62" i="20"/>
  <c r="K62" i="20" s="1"/>
  <c r="N61" i="20"/>
  <c r="J61" i="20"/>
  <c r="N60" i="20"/>
  <c r="P57" i="20" s="1"/>
  <c r="J60" i="20"/>
  <c r="N59" i="20"/>
  <c r="J59" i="20"/>
  <c r="L57" i="20" s="1"/>
  <c r="N58" i="20"/>
  <c r="J58" i="20"/>
  <c r="M57" i="20" s="1"/>
  <c r="N57" i="20"/>
  <c r="Q57" i="20" s="1"/>
  <c r="J57" i="20"/>
  <c r="J56" i="20"/>
  <c r="J55" i="20"/>
  <c r="M52" i="20" s="1"/>
  <c r="J54" i="20"/>
  <c r="J53" i="20"/>
  <c r="L52" i="20" s="1"/>
  <c r="J52" i="20"/>
  <c r="K52" i="20" s="1"/>
  <c r="N51" i="20"/>
  <c r="Q47" i="20" s="1"/>
  <c r="J51" i="20"/>
  <c r="N50" i="20"/>
  <c r="J50" i="20"/>
  <c r="L47" i="20" s="1"/>
  <c r="N49" i="20"/>
  <c r="J49" i="20"/>
  <c r="N48" i="20"/>
  <c r="P47" i="20" s="1"/>
  <c r="J48" i="20"/>
  <c r="M47" i="20" s="1"/>
  <c r="N47" i="20"/>
  <c r="J47" i="20"/>
  <c r="J45" i="20"/>
  <c r="J44" i="20"/>
  <c r="L41" i="20" s="1"/>
  <c r="J43" i="20"/>
  <c r="J42" i="20"/>
  <c r="J41" i="20"/>
  <c r="N40" i="20"/>
  <c r="J40" i="20"/>
  <c r="N39" i="20"/>
  <c r="J39" i="20"/>
  <c r="M36" i="20" s="1"/>
  <c r="N38" i="20"/>
  <c r="J38" i="20"/>
  <c r="N37" i="20"/>
  <c r="J37" i="20"/>
  <c r="N36" i="20"/>
  <c r="J36" i="20"/>
  <c r="L36" i="20" s="1"/>
  <c r="J35" i="20"/>
  <c r="M31" i="20" s="1"/>
  <c r="J34" i="20"/>
  <c r="J33" i="20"/>
  <c r="J32" i="20"/>
  <c r="J31" i="20"/>
  <c r="N30" i="20"/>
  <c r="J30" i="20"/>
  <c r="N29" i="20"/>
  <c r="J29" i="20"/>
  <c r="M26" i="20" s="1"/>
  <c r="N28" i="20"/>
  <c r="J28" i="20"/>
  <c r="N27" i="20"/>
  <c r="J27" i="20"/>
  <c r="N26" i="20"/>
  <c r="J26" i="20"/>
  <c r="J25" i="20"/>
  <c r="J24" i="20"/>
  <c r="L21" i="20" s="1"/>
  <c r="J23" i="20"/>
  <c r="J22" i="20"/>
  <c r="M21" i="20" s="1"/>
  <c r="J21" i="20"/>
  <c r="K21" i="20" s="1"/>
  <c r="N20" i="20"/>
  <c r="J20" i="20"/>
  <c r="M16" i="20" s="1"/>
  <c r="N19" i="20"/>
  <c r="J19" i="20"/>
  <c r="N18" i="20"/>
  <c r="J18" i="20"/>
  <c r="L16" i="20" s="1"/>
  <c r="N17" i="20"/>
  <c r="J17" i="20"/>
  <c r="N16" i="20"/>
  <c r="J16" i="20"/>
  <c r="J15" i="20"/>
  <c r="J14" i="20"/>
  <c r="J13" i="20"/>
  <c r="L11" i="20" s="1"/>
  <c r="J12" i="20"/>
  <c r="J11" i="20"/>
  <c r="N10" i="20"/>
  <c r="J10" i="20"/>
  <c r="N9" i="20"/>
  <c r="J9" i="20"/>
  <c r="N8" i="20"/>
  <c r="J8" i="20"/>
  <c r="N7" i="20"/>
  <c r="J7" i="20"/>
  <c r="N6" i="20"/>
  <c r="J6" i="20"/>
  <c r="M6" i="20" s="1"/>
  <c r="J127" i="19"/>
  <c r="L123" i="19" s="1"/>
  <c r="J126" i="19"/>
  <c r="J125" i="19"/>
  <c r="J124" i="19"/>
  <c r="J123" i="19"/>
  <c r="M123" i="19" s="1"/>
  <c r="N122" i="19"/>
  <c r="J122" i="19"/>
  <c r="M118" i="19" s="1"/>
  <c r="N121" i="19"/>
  <c r="J121" i="19"/>
  <c r="N120" i="19"/>
  <c r="Q118" i="19" s="1"/>
  <c r="J120" i="19"/>
  <c r="N119" i="19"/>
  <c r="P118" i="19" s="1"/>
  <c r="J119" i="19"/>
  <c r="L118" i="19" s="1"/>
  <c r="N118" i="19"/>
  <c r="J118" i="19"/>
  <c r="J117" i="19"/>
  <c r="J116" i="19"/>
  <c r="J115" i="19"/>
  <c r="L113" i="19" s="1"/>
  <c r="J114" i="19"/>
  <c r="M113" i="19" s="1"/>
  <c r="J113" i="19"/>
  <c r="N112" i="19"/>
  <c r="J112" i="19"/>
  <c r="M108" i="19" s="1"/>
  <c r="N111" i="19"/>
  <c r="J111" i="19"/>
  <c r="L108" i="19" s="1"/>
  <c r="N110" i="19"/>
  <c r="Q108" i="19" s="1"/>
  <c r="J110" i="19"/>
  <c r="N109" i="19"/>
  <c r="P108" i="19" s="1"/>
  <c r="J109" i="19"/>
  <c r="N108" i="19"/>
  <c r="J108" i="19"/>
  <c r="K108" i="19" s="1"/>
  <c r="F15" i="32" s="1"/>
  <c r="K42" i="32" s="1"/>
  <c r="J107" i="19"/>
  <c r="J106" i="19"/>
  <c r="M103" i="19" s="1"/>
  <c r="J105" i="19"/>
  <c r="J104" i="19"/>
  <c r="J103" i="19"/>
  <c r="L103" i="19" s="1"/>
  <c r="N102" i="19"/>
  <c r="J102" i="19"/>
  <c r="N101" i="19"/>
  <c r="J101" i="19"/>
  <c r="M98" i="19" s="1"/>
  <c r="N100" i="19"/>
  <c r="P98" i="19" s="1"/>
  <c r="J100" i="19"/>
  <c r="L98" i="19" s="1"/>
  <c r="N99" i="19"/>
  <c r="J99" i="19"/>
  <c r="N98" i="19"/>
  <c r="J98" i="19"/>
  <c r="J97" i="19"/>
  <c r="J96" i="19"/>
  <c r="L93" i="19" s="1"/>
  <c r="J95" i="19"/>
  <c r="J94" i="19"/>
  <c r="J93" i="19"/>
  <c r="M93" i="19" s="1"/>
  <c r="N92" i="19"/>
  <c r="J92" i="19"/>
  <c r="N91" i="19"/>
  <c r="J91" i="19"/>
  <c r="L88" i="19" s="1"/>
  <c r="N90" i="19"/>
  <c r="Q88" i="19" s="1"/>
  <c r="J90" i="19"/>
  <c r="M88" i="19" s="1"/>
  <c r="N89" i="19"/>
  <c r="J89" i="19"/>
  <c r="N88" i="19"/>
  <c r="P88" i="19" s="1"/>
  <c r="J88" i="19"/>
  <c r="J86" i="19"/>
  <c r="J85" i="19"/>
  <c r="J84" i="19"/>
  <c r="J83" i="19"/>
  <c r="L82" i="19" s="1"/>
  <c r="J82" i="19"/>
  <c r="M82" i="19" s="1"/>
  <c r="N81" i="19"/>
  <c r="J81" i="19"/>
  <c r="L77" i="19" s="1"/>
  <c r="N80" i="19"/>
  <c r="J80" i="19"/>
  <c r="N79" i="19"/>
  <c r="J79" i="19"/>
  <c r="N78" i="19"/>
  <c r="Q77" i="19" s="1"/>
  <c r="J78" i="19"/>
  <c r="M77" i="19" s="1"/>
  <c r="N77" i="19"/>
  <c r="J77" i="19"/>
  <c r="J76" i="19"/>
  <c r="J75" i="19"/>
  <c r="L72" i="19" s="1"/>
  <c r="J74" i="19"/>
  <c r="M72" i="19" s="1"/>
  <c r="J73" i="19"/>
  <c r="J72" i="19"/>
  <c r="N71" i="19"/>
  <c r="J71" i="19"/>
  <c r="M67" i="19" s="1"/>
  <c r="N70" i="19"/>
  <c r="J70" i="19"/>
  <c r="N69" i="19"/>
  <c r="Q67" i="19" s="1"/>
  <c r="J69" i="19"/>
  <c r="N68" i="19"/>
  <c r="J68" i="19"/>
  <c r="L67" i="19" s="1"/>
  <c r="N67" i="19"/>
  <c r="J67" i="19"/>
  <c r="J66" i="19"/>
  <c r="M62" i="19" s="1"/>
  <c r="J65" i="19"/>
  <c r="J64" i="19"/>
  <c r="L62" i="19" s="1"/>
  <c r="J63" i="19"/>
  <c r="J62" i="19"/>
  <c r="K62" i="19" s="1"/>
  <c r="E14" i="32" s="1"/>
  <c r="I41" i="32" s="1"/>
  <c r="N61" i="19"/>
  <c r="J61" i="19"/>
  <c r="N60" i="19"/>
  <c r="J60" i="19"/>
  <c r="M57" i="19" s="1"/>
  <c r="N59" i="19"/>
  <c r="J59" i="19"/>
  <c r="N58" i="19"/>
  <c r="P57" i="19" s="1"/>
  <c r="J58" i="19"/>
  <c r="Q57" i="19"/>
  <c r="N57" i="19"/>
  <c r="J57" i="19"/>
  <c r="J56" i="19"/>
  <c r="M52" i="19" s="1"/>
  <c r="J55" i="19"/>
  <c r="L52" i="19" s="1"/>
  <c r="J54" i="19"/>
  <c r="J53" i="19"/>
  <c r="J52" i="19"/>
  <c r="K52" i="19" s="1"/>
  <c r="E13" i="32" s="1"/>
  <c r="I40" i="32" s="1"/>
  <c r="N51" i="19"/>
  <c r="J51" i="19"/>
  <c r="M47" i="19" s="1"/>
  <c r="N50" i="19"/>
  <c r="J50" i="19"/>
  <c r="N49" i="19"/>
  <c r="J49" i="19"/>
  <c r="N48" i="19"/>
  <c r="J48" i="19"/>
  <c r="N47" i="19"/>
  <c r="P47" i="19" s="1"/>
  <c r="J47" i="19"/>
  <c r="L47" i="19" s="1"/>
  <c r="J45" i="19"/>
  <c r="J44" i="19"/>
  <c r="J43" i="19"/>
  <c r="J42" i="19"/>
  <c r="L41" i="19" s="1"/>
  <c r="J41" i="19"/>
  <c r="M41" i="19" s="1"/>
  <c r="N40" i="19"/>
  <c r="J40" i="19"/>
  <c r="N39" i="19"/>
  <c r="J39" i="19"/>
  <c r="L36" i="19" s="1"/>
  <c r="N38" i="19"/>
  <c r="P36" i="19" s="1"/>
  <c r="J38" i="19"/>
  <c r="N37" i="19"/>
  <c r="Q36" i="19" s="1"/>
  <c r="J37" i="19"/>
  <c r="M36" i="19" s="1"/>
  <c r="N36" i="19"/>
  <c r="J36" i="19"/>
  <c r="J35" i="19"/>
  <c r="J34" i="19"/>
  <c r="J33" i="19"/>
  <c r="J32" i="19"/>
  <c r="L31" i="19" s="1"/>
  <c r="M31" i="19"/>
  <c r="J31" i="19"/>
  <c r="K31" i="19" s="1"/>
  <c r="C15" i="32" s="1"/>
  <c r="D42" i="32" s="1"/>
  <c r="N30" i="19"/>
  <c r="Q26" i="19" s="1"/>
  <c r="J30" i="19"/>
  <c r="L26" i="19" s="1"/>
  <c r="N29" i="19"/>
  <c r="P26" i="19" s="1"/>
  <c r="J29" i="19"/>
  <c r="N28" i="19"/>
  <c r="J28" i="19"/>
  <c r="N27" i="19"/>
  <c r="J27" i="19"/>
  <c r="N26" i="19"/>
  <c r="J26" i="19"/>
  <c r="M26" i="19" s="1"/>
  <c r="J25" i="19"/>
  <c r="J24" i="19"/>
  <c r="L21" i="19" s="1"/>
  <c r="J23" i="19"/>
  <c r="J22" i="19"/>
  <c r="M21" i="19"/>
  <c r="J21" i="19"/>
  <c r="K21" i="19" s="1"/>
  <c r="C14" i="32" s="1"/>
  <c r="E41" i="32" s="1"/>
  <c r="N20" i="19"/>
  <c r="J20" i="19"/>
  <c r="N19" i="19"/>
  <c r="J19" i="19"/>
  <c r="N18" i="19"/>
  <c r="P16" i="19" s="1"/>
  <c r="J18" i="19"/>
  <c r="N17" i="19"/>
  <c r="Q16" i="19" s="1"/>
  <c r="J17" i="19"/>
  <c r="M16" i="19" s="1"/>
  <c r="N16" i="19"/>
  <c r="J16" i="19"/>
  <c r="K16" i="19" s="1"/>
  <c r="J15" i="19"/>
  <c r="L11" i="19" s="1"/>
  <c r="J14" i="19"/>
  <c r="J13" i="19"/>
  <c r="J12" i="19"/>
  <c r="J11" i="19"/>
  <c r="M11" i="19" s="1"/>
  <c r="N10" i="19"/>
  <c r="J10" i="19"/>
  <c r="M6" i="19" s="1"/>
  <c r="N9" i="19"/>
  <c r="J9" i="19"/>
  <c r="L6" i="19" s="1"/>
  <c r="N8" i="19"/>
  <c r="J8" i="19"/>
  <c r="N7" i="19"/>
  <c r="Q6" i="19" s="1"/>
  <c r="J7" i="19"/>
  <c r="N6" i="19"/>
  <c r="J6" i="19"/>
  <c r="O37" i="24" l="1"/>
  <c r="O16" i="19"/>
  <c r="K57" i="19"/>
  <c r="D14" i="32" s="1"/>
  <c r="G41" i="32" s="1"/>
  <c r="K6" i="19"/>
  <c r="O88" i="20"/>
  <c r="O47" i="20"/>
  <c r="O67" i="20"/>
  <c r="O36" i="20"/>
  <c r="K103" i="20"/>
  <c r="O77" i="20"/>
  <c r="K57" i="20"/>
  <c r="K47" i="20"/>
  <c r="K16" i="20"/>
  <c r="O57" i="20"/>
  <c r="K11" i="20"/>
  <c r="M11" i="20"/>
  <c r="K72" i="20"/>
  <c r="K36" i="20"/>
  <c r="K67" i="20"/>
  <c r="K77" i="20"/>
  <c r="L26" i="20"/>
  <c r="K26" i="20"/>
  <c r="O118" i="20"/>
  <c r="K113" i="20"/>
  <c r="K41" i="20"/>
  <c r="M41" i="20"/>
  <c r="K31" i="20"/>
  <c r="L31" i="20"/>
  <c r="O108" i="20"/>
  <c r="K108" i="20"/>
  <c r="K114" i="24"/>
  <c r="O7" i="24"/>
  <c r="K32" i="24"/>
  <c r="K73" i="24"/>
  <c r="O119" i="24"/>
  <c r="K27" i="24"/>
  <c r="M42" i="33"/>
  <c r="G84" i="33"/>
  <c r="D40" i="33"/>
  <c r="H41" i="33"/>
  <c r="L42" i="33"/>
  <c r="B84" i="33"/>
  <c r="F86" i="33"/>
  <c r="D84" i="33"/>
  <c r="B42" i="33"/>
  <c r="B85" i="33"/>
  <c r="D42" i="33"/>
  <c r="D85" i="33"/>
  <c r="F85" i="33"/>
  <c r="B86" i="33"/>
  <c r="B40" i="33"/>
  <c r="D86" i="33"/>
  <c r="K41" i="19"/>
  <c r="C16" i="32" s="1"/>
  <c r="E43" i="32" s="1"/>
  <c r="O118" i="19"/>
  <c r="D59" i="32" s="1"/>
  <c r="G86" i="32" s="1"/>
  <c r="O108" i="19"/>
  <c r="K98" i="19"/>
  <c r="F14" i="32" s="1"/>
  <c r="K41" i="32" s="1"/>
  <c r="K77" i="19"/>
  <c r="D16" i="32" s="1"/>
  <c r="G43" i="32" s="1"/>
  <c r="K72" i="19"/>
  <c r="E15" i="32" s="1"/>
  <c r="H42" i="32" s="1"/>
  <c r="K67" i="19"/>
  <c r="D15" i="32" s="1"/>
  <c r="O47" i="19"/>
  <c r="O88" i="19"/>
  <c r="K113" i="19"/>
  <c r="G15" i="32" s="1"/>
  <c r="M42" i="32" s="1"/>
  <c r="K123" i="19"/>
  <c r="G16" i="32" s="1"/>
  <c r="M43" i="32" s="1"/>
  <c r="P67" i="19"/>
  <c r="K118" i="19"/>
  <c r="F16" i="32" s="1"/>
  <c r="K43" i="32" s="1"/>
  <c r="B57" i="32"/>
  <c r="O77" i="19"/>
  <c r="C59" i="32" s="1"/>
  <c r="O6" i="19"/>
  <c r="K26" i="19"/>
  <c r="B15" i="32" s="1"/>
  <c r="K36" i="19"/>
  <c r="B16" i="32" s="1"/>
  <c r="O67" i="19"/>
  <c r="P77" i="19"/>
  <c r="O98" i="19"/>
  <c r="O26" i="19"/>
  <c r="O36" i="19"/>
  <c r="E42" i="32"/>
  <c r="F41" i="32"/>
  <c r="J42" i="32"/>
  <c r="H40" i="32"/>
  <c r="D41" i="32"/>
  <c r="H41" i="32"/>
  <c r="B14" i="32"/>
  <c r="Q98" i="19"/>
  <c r="K93" i="19"/>
  <c r="G13" i="32" s="1"/>
  <c r="L16" i="19"/>
  <c r="O57" i="19"/>
  <c r="K88" i="19"/>
  <c r="F13" i="32" s="1"/>
  <c r="K103" i="19"/>
  <c r="G14" i="32" s="1"/>
  <c r="Q47" i="19"/>
  <c r="B13" i="32"/>
  <c r="K82" i="19"/>
  <c r="E16" i="32" s="1"/>
  <c r="K11" i="19"/>
  <c r="C13" i="32" s="1"/>
  <c r="P6" i="19"/>
  <c r="K47" i="19"/>
  <c r="D13" i="32" s="1"/>
  <c r="L57" i="19"/>
  <c r="K7" i="24"/>
  <c r="K12" i="24"/>
  <c r="K48" i="24"/>
  <c r="K53" i="24"/>
  <c r="O17" i="24"/>
  <c r="O58" i="24"/>
  <c r="O99" i="24"/>
  <c r="K89" i="24"/>
  <c r="K94" i="24"/>
  <c r="O27" i="24"/>
  <c r="O68" i="24"/>
  <c r="K119" i="24"/>
  <c r="K124" i="24"/>
  <c r="K22" i="24"/>
  <c r="K37" i="24"/>
  <c r="K42" i="24"/>
  <c r="K63" i="24"/>
  <c r="K78" i="24"/>
  <c r="K83" i="24"/>
  <c r="K104" i="24"/>
  <c r="O26" i="20"/>
  <c r="O16" i="20"/>
  <c r="O6" i="20"/>
  <c r="K6" i="20"/>
  <c r="I42" i="32" l="1"/>
  <c r="L43" i="32"/>
  <c r="D43" i="32"/>
  <c r="J43" i="32"/>
  <c r="F86" i="32"/>
  <c r="F43" i="32"/>
  <c r="C56" i="32"/>
  <c r="J41" i="32"/>
  <c r="D58" i="32"/>
  <c r="G85" i="32" s="1"/>
  <c r="G42" i="32"/>
  <c r="F42" i="32"/>
  <c r="L42" i="32"/>
  <c r="C58" i="32"/>
  <c r="C43" i="32"/>
  <c r="B43" i="32"/>
  <c r="D56" i="32"/>
  <c r="C42" i="32"/>
  <c r="B42" i="32"/>
  <c r="C57" i="32"/>
  <c r="B56" i="32"/>
  <c r="B58" i="32"/>
  <c r="E86" i="32"/>
  <c r="D86" i="32"/>
  <c r="D57" i="32"/>
  <c r="B59" i="32"/>
  <c r="C84" i="32"/>
  <c r="B84" i="32"/>
  <c r="B41" i="32"/>
  <c r="C41" i="32"/>
  <c r="C40" i="32"/>
  <c r="B40" i="32"/>
  <c r="G40" i="32"/>
  <c r="F40" i="32"/>
  <c r="M41" i="32"/>
  <c r="L41" i="32"/>
  <c r="E40" i="32"/>
  <c r="D40" i="32"/>
  <c r="I43" i="32"/>
  <c r="H43" i="32"/>
  <c r="K40" i="32"/>
  <c r="J40" i="32"/>
  <c r="M40" i="32"/>
  <c r="L40" i="32"/>
  <c r="F85" i="32" l="1"/>
  <c r="D83" i="32"/>
  <c r="E83" i="32"/>
  <c r="G83" i="32"/>
  <c r="F83" i="32"/>
  <c r="E84" i="32"/>
  <c r="D84" i="32"/>
  <c r="C86" i="32"/>
  <c r="B86" i="32"/>
  <c r="C83" i="32"/>
  <c r="B83" i="32"/>
  <c r="G84" i="32"/>
  <c r="F84" i="32"/>
  <c r="C85" i="32"/>
  <c r="B85" i="32"/>
  <c r="E85" i="32"/>
  <c r="D85" i="32"/>
</calcChain>
</file>

<file path=xl/sharedStrings.xml><?xml version="1.0" encoding="utf-8"?>
<sst xmlns="http://schemas.openxmlformats.org/spreadsheetml/2006/main" count="2899" uniqueCount="563">
  <si>
    <t>Plasttype: PLA</t>
  </si>
  <si>
    <t>Dato</t>
  </si>
  <si>
    <t>28/1</t>
  </si>
  <si>
    <t>Prøve ID</t>
  </si>
  <si>
    <t>Startvekt</t>
  </si>
  <si>
    <t>A-0-1</t>
  </si>
  <si>
    <t>A-0-2</t>
  </si>
  <si>
    <t>Temp 20C</t>
  </si>
  <si>
    <t>Temp 40C</t>
  </si>
  <si>
    <t>Temp 60C</t>
  </si>
  <si>
    <t>Tørr</t>
  </si>
  <si>
    <t>Våt</t>
  </si>
  <si>
    <t>26/1</t>
  </si>
  <si>
    <t>17/2</t>
  </si>
  <si>
    <t>19/2</t>
  </si>
  <si>
    <t>Sluttvekt</t>
  </si>
  <si>
    <t>Tørrvekt</t>
  </si>
  <si>
    <t>ikke skylt</t>
  </si>
  <si>
    <t>A-1-1</t>
  </si>
  <si>
    <t>A-1-2</t>
  </si>
  <si>
    <t>A-2-1</t>
  </si>
  <si>
    <t>A-2-2</t>
  </si>
  <si>
    <t>A-3-1</t>
  </si>
  <si>
    <t>A-3-2</t>
  </si>
  <si>
    <t>skylt og tørket</t>
  </si>
  <si>
    <t>A-1-3</t>
  </si>
  <si>
    <t>A-1-4</t>
  </si>
  <si>
    <t>A-2-3</t>
  </si>
  <si>
    <t>A-2-4</t>
  </si>
  <si>
    <t>A-3-3</t>
  </si>
  <si>
    <t>A-3-4</t>
  </si>
  <si>
    <t>A-1-5</t>
  </si>
  <si>
    <t>A-1-6</t>
  </si>
  <si>
    <t>A-2-5</t>
  </si>
  <si>
    <t>A-2-6</t>
  </si>
  <si>
    <t>A-3-5</t>
  </si>
  <si>
    <t>A-3-6</t>
  </si>
  <si>
    <t>A-1-7</t>
  </si>
  <si>
    <t>A-1-8</t>
  </si>
  <si>
    <t>A-2-7</t>
  </si>
  <si>
    <t>A-2-8</t>
  </si>
  <si>
    <t>A-3-7</t>
  </si>
  <si>
    <t>A-3-8</t>
  </si>
  <si>
    <t>Plasttype: PETG</t>
  </si>
  <si>
    <t>B-0-1</t>
  </si>
  <si>
    <t>B-0-2</t>
  </si>
  <si>
    <t>tørr</t>
  </si>
  <si>
    <t>våt</t>
  </si>
  <si>
    <t>27/1</t>
  </si>
  <si>
    <t>18/2</t>
  </si>
  <si>
    <t>B-1-1</t>
  </si>
  <si>
    <t>B-1-2</t>
  </si>
  <si>
    <t>B-2-1</t>
  </si>
  <si>
    <t>B-2-2</t>
  </si>
  <si>
    <t>B-3-1</t>
  </si>
  <si>
    <t>B-3-2</t>
  </si>
  <si>
    <t>B-1-3</t>
  </si>
  <si>
    <t>B-1-4</t>
  </si>
  <si>
    <t>B-2-3</t>
  </si>
  <si>
    <t>B-2-4</t>
  </si>
  <si>
    <t>B-3-3</t>
  </si>
  <si>
    <t>B-3-4</t>
  </si>
  <si>
    <t>B-1-5</t>
  </si>
  <si>
    <t>B-1-6</t>
  </si>
  <si>
    <t>B-2-5</t>
  </si>
  <si>
    <t>B-2-6</t>
  </si>
  <si>
    <t>B-3-5</t>
  </si>
  <si>
    <t>B-3-6</t>
  </si>
  <si>
    <t>B-1-7</t>
  </si>
  <si>
    <t>B-1-8</t>
  </si>
  <si>
    <t>B-2-7</t>
  </si>
  <si>
    <t>B-2-8</t>
  </si>
  <si>
    <t>B-3-7</t>
  </si>
  <si>
    <t>B-3-8</t>
  </si>
  <si>
    <t>Plasttype: ASA</t>
  </si>
  <si>
    <t>C-0-1</t>
  </si>
  <si>
    <t>C-0-2</t>
  </si>
  <si>
    <t>C-1-1</t>
  </si>
  <si>
    <t>C-1-2</t>
  </si>
  <si>
    <t>C-2-1</t>
  </si>
  <si>
    <t>C-2-2</t>
  </si>
  <si>
    <t>C-3-1</t>
  </si>
  <si>
    <t>C-3-2</t>
  </si>
  <si>
    <t>C-1-3</t>
  </si>
  <si>
    <t>C-1-4</t>
  </si>
  <si>
    <t>C-2-3</t>
  </si>
  <si>
    <t>C-2-4</t>
  </si>
  <si>
    <t>C-3-3</t>
  </si>
  <si>
    <t>C-3-4</t>
  </si>
  <si>
    <t>C-1-5</t>
  </si>
  <si>
    <t>C-1-6</t>
  </si>
  <si>
    <t>C-2-5</t>
  </si>
  <si>
    <t>C-2-6</t>
  </si>
  <si>
    <t>C-3-5</t>
  </si>
  <si>
    <t>C-3-6</t>
  </si>
  <si>
    <t>C-1-7</t>
  </si>
  <si>
    <t>C-1-8</t>
  </si>
  <si>
    <t>C-2-7</t>
  </si>
  <si>
    <t>C-2-8</t>
  </si>
  <si>
    <t>C-3-7</t>
  </si>
  <si>
    <t>C-3-8</t>
  </si>
  <si>
    <t>Smulder</t>
  </si>
  <si>
    <t>30/3</t>
  </si>
  <si>
    <t>Temperatur</t>
  </si>
  <si>
    <t>Tilstand</t>
  </si>
  <si>
    <t xml:space="preserve">Sluttvekt </t>
  </si>
  <si>
    <t>Vektendring</t>
  </si>
  <si>
    <t>A-1-1_1</t>
  </si>
  <si>
    <t>A-1-1_2</t>
  </si>
  <si>
    <t>A-1-1_3</t>
  </si>
  <si>
    <t>A-1-1_4</t>
  </si>
  <si>
    <t>A-1-1_5</t>
  </si>
  <si>
    <t>A-1-2_1</t>
  </si>
  <si>
    <t>A-1-2_2</t>
  </si>
  <si>
    <t>A-1-2_3</t>
  </si>
  <si>
    <t>A-1-2_4</t>
  </si>
  <si>
    <t>A-1-2_5</t>
  </si>
  <si>
    <t>Permanent endring</t>
  </si>
  <si>
    <t>Tørket etter 48 timer</t>
  </si>
  <si>
    <t>A-2-1_1</t>
  </si>
  <si>
    <t>A-2-1_2</t>
  </si>
  <si>
    <t>A-2-1_3</t>
  </si>
  <si>
    <t>A-2-1_4</t>
  </si>
  <si>
    <t>A-2-1_5</t>
  </si>
  <si>
    <t>A-2-2_1</t>
  </si>
  <si>
    <t>A-2-2_2</t>
  </si>
  <si>
    <t>A-2-2_3</t>
  </si>
  <si>
    <t>A-2-2_4</t>
  </si>
  <si>
    <t>A-2-2_5</t>
  </si>
  <si>
    <t>A-3-1_1</t>
  </si>
  <si>
    <t>A-3-2_1</t>
  </si>
  <si>
    <t>A-3-1_2</t>
  </si>
  <si>
    <t>A-3-1_3</t>
  </si>
  <si>
    <t>A-3-1_4</t>
  </si>
  <si>
    <t>A-3-1_5</t>
  </si>
  <si>
    <t>A-3-2_2</t>
  </si>
  <si>
    <t>A-3-2_3</t>
  </si>
  <si>
    <t>A-3-2_4</t>
  </si>
  <si>
    <t>A-3-2_5</t>
  </si>
  <si>
    <t>A-1-3_1</t>
  </si>
  <si>
    <t>A-1-4_1</t>
  </si>
  <si>
    <t>A-1-3_2</t>
  </si>
  <si>
    <t>A-1-3_3</t>
  </si>
  <si>
    <t>A-1-3_4</t>
  </si>
  <si>
    <t>A-1-3_5</t>
  </si>
  <si>
    <t>A-1-4_2</t>
  </si>
  <si>
    <t>A-1-4_3</t>
  </si>
  <si>
    <t>A-1-4_4</t>
  </si>
  <si>
    <t>A-1-4_5</t>
  </si>
  <si>
    <t>A-2-3_1</t>
  </si>
  <si>
    <t>A-2-3_2</t>
  </si>
  <si>
    <t>A-2-3_3</t>
  </si>
  <si>
    <t>A-2-3_4</t>
  </si>
  <si>
    <t>A-2-3_5</t>
  </si>
  <si>
    <t>A-2-4_1</t>
  </si>
  <si>
    <t>A-2-4_2</t>
  </si>
  <si>
    <t>A-2-4_3</t>
  </si>
  <si>
    <t>A-2-4_4</t>
  </si>
  <si>
    <t>A-2-4_5</t>
  </si>
  <si>
    <t>A-3-3_1</t>
  </si>
  <si>
    <t>A-3-3_2</t>
  </si>
  <si>
    <t>A-3-3_3</t>
  </si>
  <si>
    <t>A-3-3_4</t>
  </si>
  <si>
    <t>A-3-3_5</t>
  </si>
  <si>
    <t>A-3-4_1</t>
  </si>
  <si>
    <t>A-3-4_2</t>
  </si>
  <si>
    <t>A-3-4_3</t>
  </si>
  <si>
    <t>A-3-4_4</t>
  </si>
  <si>
    <t>A-3-4_5</t>
  </si>
  <si>
    <t>A-1-5_1</t>
  </si>
  <si>
    <t>A-1-5_2</t>
  </si>
  <si>
    <t>A-1-5_3</t>
  </si>
  <si>
    <t>A-1-5_4</t>
  </si>
  <si>
    <t>A-1-5_5</t>
  </si>
  <si>
    <t>A-1-6_1</t>
  </si>
  <si>
    <t>A-1-6_2</t>
  </si>
  <si>
    <t>A-1-6_3</t>
  </si>
  <si>
    <t>A-1-6_4</t>
  </si>
  <si>
    <t>A-1-6_5</t>
  </si>
  <si>
    <t>A-2-5_1</t>
  </si>
  <si>
    <t>A-2-5_2</t>
  </si>
  <si>
    <t>A-2-5_3</t>
  </si>
  <si>
    <t>A-2-5_4</t>
  </si>
  <si>
    <t>A-2-5_5</t>
  </si>
  <si>
    <t>A-2-6_1</t>
  </si>
  <si>
    <t>A-2-6_2</t>
  </si>
  <si>
    <t>A-2-6_3</t>
  </si>
  <si>
    <t>A-2-6_4</t>
  </si>
  <si>
    <t>A-2-6_5</t>
  </si>
  <si>
    <t>B-1-1_1</t>
  </si>
  <si>
    <t>B-1-1_2</t>
  </si>
  <si>
    <t>B-1-1_3</t>
  </si>
  <si>
    <t>B-1-1_4</t>
  </si>
  <si>
    <t>B-1-1_5</t>
  </si>
  <si>
    <t>B-1-2_1</t>
  </si>
  <si>
    <t>B-1-2_2</t>
  </si>
  <si>
    <t>B-1-2_3</t>
  </si>
  <si>
    <t>B-1-2_4</t>
  </si>
  <si>
    <t>B-1-2_5</t>
  </si>
  <si>
    <t>B-2-1_1</t>
  </si>
  <si>
    <t>B-2-1_2</t>
  </si>
  <si>
    <t>B-2-1_3</t>
  </si>
  <si>
    <t>B-2-1_4</t>
  </si>
  <si>
    <t>B-2-1_5</t>
  </si>
  <si>
    <t>B-2-2_1</t>
  </si>
  <si>
    <t>B-2-2_2</t>
  </si>
  <si>
    <t>B-2-2_3</t>
  </si>
  <si>
    <t>B-2-2_4</t>
  </si>
  <si>
    <t>B-2-2_5</t>
  </si>
  <si>
    <t>B-3-1_1</t>
  </si>
  <si>
    <t>B-3-1_2</t>
  </si>
  <si>
    <t>B-3-1_3</t>
  </si>
  <si>
    <t>B-3-1_4</t>
  </si>
  <si>
    <t>B-3-1_5</t>
  </si>
  <si>
    <t>B-3-2_1</t>
  </si>
  <si>
    <t>B-3-2_2</t>
  </si>
  <si>
    <t>B-3-2_3</t>
  </si>
  <si>
    <t>B-3-2_4</t>
  </si>
  <si>
    <t>B-3-2_5</t>
  </si>
  <si>
    <t>B-1-3_1</t>
  </si>
  <si>
    <t>B-1-3_2</t>
  </si>
  <si>
    <t>B-1-3_3</t>
  </si>
  <si>
    <t>B-1-3_4</t>
  </si>
  <si>
    <t>B-1-3_5</t>
  </si>
  <si>
    <t>B-1-4_1</t>
  </si>
  <si>
    <t>B-1-4_2</t>
  </si>
  <si>
    <t>B-1-4_3</t>
  </si>
  <si>
    <t>B-1-4_4</t>
  </si>
  <si>
    <t>B-1-4_5</t>
  </si>
  <si>
    <t>B-2-3_1</t>
  </si>
  <si>
    <t>B-2-3_2</t>
  </si>
  <si>
    <t>B-2-3_3</t>
  </si>
  <si>
    <t>B-2-3_4</t>
  </si>
  <si>
    <t>B-2-3_5</t>
  </si>
  <si>
    <t>B-2-4_1</t>
  </si>
  <si>
    <t>B-2-4_2</t>
  </si>
  <si>
    <t>B-2-4_3</t>
  </si>
  <si>
    <t>B-2-4_4</t>
  </si>
  <si>
    <t>B-2-4_5</t>
  </si>
  <si>
    <t>B-3-3_1</t>
  </si>
  <si>
    <t>B-3-3_2</t>
  </si>
  <si>
    <t>B-3-3_3</t>
  </si>
  <si>
    <t>B-3-3_4</t>
  </si>
  <si>
    <t>B-3-3_5</t>
  </si>
  <si>
    <t>B-3-4_1</t>
  </si>
  <si>
    <t>B-3-4_2</t>
  </si>
  <si>
    <t>B-3-4_3</t>
  </si>
  <si>
    <t>B-3-4_4</t>
  </si>
  <si>
    <t>B-3-4_5</t>
  </si>
  <si>
    <t>B-1-6_1</t>
  </si>
  <si>
    <t>B-1-5_1</t>
  </si>
  <si>
    <t>B-1-5_2</t>
  </si>
  <si>
    <t>B-1-5_3</t>
  </si>
  <si>
    <t>B-1-5_4</t>
  </si>
  <si>
    <t>B-1-5_5</t>
  </si>
  <si>
    <t>B-1-6_2</t>
  </si>
  <si>
    <t>B-1-6_3</t>
  </si>
  <si>
    <t>B-1-6_4</t>
  </si>
  <si>
    <t>B-1-6_5</t>
  </si>
  <si>
    <t>B-2-5_1</t>
  </si>
  <si>
    <t>B-2-5_2</t>
  </si>
  <si>
    <t>B-2-5_3</t>
  </si>
  <si>
    <t>B-2-5_4</t>
  </si>
  <si>
    <t>B-2-5_5</t>
  </si>
  <si>
    <t>B-2-6_1</t>
  </si>
  <si>
    <t>B-2-6_2</t>
  </si>
  <si>
    <t>B-2-6_3</t>
  </si>
  <si>
    <t>B-2-6_4</t>
  </si>
  <si>
    <t>B-2-6_5</t>
  </si>
  <si>
    <t>B-3-5_1</t>
  </si>
  <si>
    <t>B-3-5_2</t>
  </si>
  <si>
    <t>B-3-5_3</t>
  </si>
  <si>
    <t>B-3-5_4</t>
  </si>
  <si>
    <t>B-3-5_5</t>
  </si>
  <si>
    <t>B-3-6_1</t>
  </si>
  <si>
    <t>B-3-6_2</t>
  </si>
  <si>
    <t>B-3-6_3</t>
  </si>
  <si>
    <t>B-3-6_4</t>
  </si>
  <si>
    <t>B-3-6_5</t>
  </si>
  <si>
    <t>C-1-1_1</t>
  </si>
  <si>
    <t>C-1-1_2</t>
  </si>
  <si>
    <t>C-1-1_3</t>
  </si>
  <si>
    <t>C-1-1_4</t>
  </si>
  <si>
    <t>C-1-1_5</t>
  </si>
  <si>
    <t>C-1-2_2</t>
  </si>
  <si>
    <t>C-1-2_1</t>
  </si>
  <si>
    <t>C-1-2_3</t>
  </si>
  <si>
    <t>C-1-2_4</t>
  </si>
  <si>
    <t>C-1-2_5</t>
  </si>
  <si>
    <t>C-2-1_1</t>
  </si>
  <si>
    <t>C-2-2_1</t>
  </si>
  <si>
    <t>C-2-1_2</t>
  </si>
  <si>
    <t>C-2-1_3</t>
  </si>
  <si>
    <t>C-2-1_4</t>
  </si>
  <si>
    <t>C-2-1_5</t>
  </si>
  <si>
    <t>C-2-2_2</t>
  </si>
  <si>
    <t>C-2-2_3</t>
  </si>
  <si>
    <t>C-2-2_4</t>
  </si>
  <si>
    <t>C-2-2_5</t>
  </si>
  <si>
    <t>C-3-1_1</t>
  </si>
  <si>
    <t>C-3-2_1</t>
  </si>
  <si>
    <t>C-3-1_2</t>
  </si>
  <si>
    <t>C-3-1_3</t>
  </si>
  <si>
    <t>C-3-1_4</t>
  </si>
  <si>
    <t>C-3-1_5</t>
  </si>
  <si>
    <t>C-3-2_2</t>
  </si>
  <si>
    <t>C-3-2_3</t>
  </si>
  <si>
    <t>C-3-2_4</t>
  </si>
  <si>
    <t>C-3-2_5</t>
  </si>
  <si>
    <t>C-1-3_1</t>
  </si>
  <si>
    <t>C-1-4_1</t>
  </si>
  <si>
    <t>C-1-3_2</t>
  </si>
  <si>
    <t>C-1-3_3</t>
  </si>
  <si>
    <t>C-1-3_4</t>
  </si>
  <si>
    <t>C-1-3_5</t>
  </si>
  <si>
    <t>C-1-4_2</t>
  </si>
  <si>
    <t>C-1-4_3</t>
  </si>
  <si>
    <t>C-1-4_4</t>
  </si>
  <si>
    <t>C-1-4_5</t>
  </si>
  <si>
    <t>C-2-3_1</t>
  </si>
  <si>
    <t>C-2-3_2</t>
  </si>
  <si>
    <t>C-2-3_3</t>
  </si>
  <si>
    <t>C-2-3_4</t>
  </si>
  <si>
    <t>C-2-3_5</t>
  </si>
  <si>
    <t>C-2-4_1</t>
  </si>
  <si>
    <t>C-2-4_2</t>
  </si>
  <si>
    <t>C-2-4_3</t>
  </si>
  <si>
    <t>C-2-4_4</t>
  </si>
  <si>
    <t>C-2-4_5</t>
  </si>
  <si>
    <t>C-3-3_1</t>
  </si>
  <si>
    <t>C-3-3_2</t>
  </si>
  <si>
    <t>C-3-3_3</t>
  </si>
  <si>
    <t>C-3-3_4</t>
  </si>
  <si>
    <t>C-3-3_5</t>
  </si>
  <si>
    <t>C-3-4_1</t>
  </si>
  <si>
    <t>C-3-4_2</t>
  </si>
  <si>
    <t>C-3-4_3</t>
  </si>
  <si>
    <t>C-3-4_4</t>
  </si>
  <si>
    <t>C-3-4_5</t>
  </si>
  <si>
    <t>C-1-5_1</t>
  </si>
  <si>
    <t>C-1-6_1</t>
  </si>
  <si>
    <t>C-1-5_2</t>
  </si>
  <si>
    <t>C-1-5_3</t>
  </si>
  <si>
    <t>C-1-5_4</t>
  </si>
  <si>
    <t>C-1-5_5</t>
  </si>
  <si>
    <t>C-1-6_2</t>
  </si>
  <si>
    <t>C-1-6_3</t>
  </si>
  <si>
    <t>C-1-6_4</t>
  </si>
  <si>
    <t>C-1-6_5</t>
  </si>
  <si>
    <t>C-2-5_1</t>
  </si>
  <si>
    <t>C-2-5_2</t>
  </si>
  <si>
    <t>C-2-5_3</t>
  </si>
  <si>
    <t>C-2-5_4</t>
  </si>
  <si>
    <t>C-2-5_5</t>
  </si>
  <si>
    <t>C-2-6_1</t>
  </si>
  <si>
    <t>C-2-6_2</t>
  </si>
  <si>
    <t>C-2-6_3</t>
  </si>
  <si>
    <t>C-2-6_4</t>
  </si>
  <si>
    <t>C-2-6_5</t>
  </si>
  <si>
    <t>C-3-5_1</t>
  </si>
  <si>
    <t>C-3-5_2</t>
  </si>
  <si>
    <t>C-3-5_3</t>
  </si>
  <si>
    <t>C-3-5_4</t>
  </si>
  <si>
    <t>C-3-5_5</t>
  </si>
  <si>
    <t>C-3-6_1</t>
  </si>
  <si>
    <t>C-3-6_2</t>
  </si>
  <si>
    <t>C-3-6_3</t>
  </si>
  <si>
    <t>C-3-6_4</t>
  </si>
  <si>
    <t>C-3-6_5</t>
  </si>
  <si>
    <t>PLA</t>
  </si>
  <si>
    <t>A-1-7_1</t>
  </si>
  <si>
    <t>A-1-7_2</t>
  </si>
  <si>
    <t>A-1-7_3</t>
  </si>
  <si>
    <t>A-1-7_4</t>
  </si>
  <si>
    <t>A-1-7_5</t>
  </si>
  <si>
    <t>A-1-8_1</t>
  </si>
  <si>
    <t>A-1-8_2</t>
  </si>
  <si>
    <t>A-1-8_3</t>
  </si>
  <si>
    <t>A-1-8_4</t>
  </si>
  <si>
    <t>A-1-8_5</t>
  </si>
  <si>
    <t>A-2-7_1</t>
  </si>
  <si>
    <t>A-2-7_2</t>
  </si>
  <si>
    <t>A-2-7_3</t>
  </si>
  <si>
    <t>A-2-7_4</t>
  </si>
  <si>
    <t>A-2-7_5</t>
  </si>
  <si>
    <t>A-2-8_1</t>
  </si>
  <si>
    <t>A-2-8_2</t>
  </si>
  <si>
    <t>A-2-8_3</t>
  </si>
  <si>
    <t>A-2-8_4</t>
  </si>
  <si>
    <t>A-2-8_5</t>
  </si>
  <si>
    <t>A-3-7_1</t>
  </si>
  <si>
    <t>A-3-7_2</t>
  </si>
  <si>
    <t>A-3-7_3</t>
  </si>
  <si>
    <t>A-3-7_4</t>
  </si>
  <si>
    <t>A-3-7_5</t>
  </si>
  <si>
    <t>A-3-8_1</t>
  </si>
  <si>
    <t>A-3-8_2</t>
  </si>
  <si>
    <t>A-3-8_3</t>
  </si>
  <si>
    <t>A-3-8_4</t>
  </si>
  <si>
    <t>A-3-8_5</t>
  </si>
  <si>
    <t>PETG</t>
  </si>
  <si>
    <t>ASA</t>
  </si>
  <si>
    <t>B-1-7_1</t>
  </si>
  <si>
    <t>B-1-7_2</t>
  </si>
  <si>
    <t>B-1-7_3</t>
  </si>
  <si>
    <t>B-1-7_4</t>
  </si>
  <si>
    <t>B-1-7_5</t>
  </si>
  <si>
    <t>B-1-8_1</t>
  </si>
  <si>
    <t>B-1-8_2</t>
  </si>
  <si>
    <t>B-1-8_3</t>
  </si>
  <si>
    <t>B-1-8_4</t>
  </si>
  <si>
    <t>B-1-8_5</t>
  </si>
  <si>
    <t>B-2-7_1</t>
  </si>
  <si>
    <t>B-2-7_2</t>
  </si>
  <si>
    <t>B-2-7_3</t>
  </si>
  <si>
    <t>B-2-7_4</t>
  </si>
  <si>
    <t>B-2-7_5</t>
  </si>
  <si>
    <t>B-2-8_1</t>
  </si>
  <si>
    <t>B-2-8_2</t>
  </si>
  <si>
    <t>B-2-8_3</t>
  </si>
  <si>
    <t>B-2-8_4</t>
  </si>
  <si>
    <t>B-2-8_5</t>
  </si>
  <si>
    <t>B-3-7_1</t>
  </si>
  <si>
    <t>B-3-7_2</t>
  </si>
  <si>
    <t>B-3-7_3</t>
  </si>
  <si>
    <t>B-3-7_4</t>
  </si>
  <si>
    <t>B-3-7_5</t>
  </si>
  <si>
    <t>B-3-8_1</t>
  </si>
  <si>
    <t>B-3-8_2</t>
  </si>
  <si>
    <t>B-3-8_3</t>
  </si>
  <si>
    <t>B-3-8_4</t>
  </si>
  <si>
    <t>B-3-8_5</t>
  </si>
  <si>
    <t>Uke</t>
  </si>
  <si>
    <t>Max</t>
  </si>
  <si>
    <t>Min</t>
  </si>
  <si>
    <t>Gj.snittlig vektendring</t>
  </si>
  <si>
    <t>Gj.snittlig premanent endring</t>
  </si>
  <si>
    <t>Type plast</t>
  </si>
  <si>
    <t>A-3-5_1</t>
  </si>
  <si>
    <t>A-3-5_2</t>
  </si>
  <si>
    <t>A-3-5_3</t>
  </si>
  <si>
    <t>A-3-5_4</t>
  </si>
  <si>
    <t>A-3-5_5</t>
  </si>
  <si>
    <t>A-3-6_1</t>
  </si>
  <si>
    <t>A-3-6_2</t>
  </si>
  <si>
    <t>A-3-6_3</t>
  </si>
  <si>
    <t>A-3-6_4</t>
  </si>
  <si>
    <t>A-3-6_5</t>
  </si>
  <si>
    <t>C-1-7_1</t>
  </si>
  <si>
    <t>C-1-7_2</t>
  </si>
  <si>
    <t>C-1-7_3</t>
  </si>
  <si>
    <t>C-1-7_4</t>
  </si>
  <si>
    <t>C-1-7_5</t>
  </si>
  <si>
    <t>C-1-8_1</t>
  </si>
  <si>
    <t>C-1-8_2</t>
  </si>
  <si>
    <t>C-1-8_3</t>
  </si>
  <si>
    <t>C-1-8_4</t>
  </si>
  <si>
    <t>C-1-8_5</t>
  </si>
  <si>
    <t>C-2-7_1</t>
  </si>
  <si>
    <t>C-2-7_2</t>
  </si>
  <si>
    <t>C-2-7_3</t>
  </si>
  <si>
    <t>C-2-7_4</t>
  </si>
  <si>
    <t>C-2-7_5</t>
  </si>
  <si>
    <t>C-2-8_1</t>
  </si>
  <si>
    <t>C-2-8_2</t>
  </si>
  <si>
    <t>C-2-8_3</t>
  </si>
  <si>
    <t>C-2-8_4</t>
  </si>
  <si>
    <t>C-2-8_5</t>
  </si>
  <si>
    <t>C-3-7_1</t>
  </si>
  <si>
    <t>C-3-7_2</t>
  </si>
  <si>
    <t>C-3-7_3</t>
  </si>
  <si>
    <t>C-3-7_4</t>
  </si>
  <si>
    <t>C-3-7_5</t>
  </si>
  <si>
    <t>C-3-8_1</t>
  </si>
  <si>
    <t>C-3-8_2</t>
  </si>
  <si>
    <t>C-3-8_3</t>
  </si>
  <si>
    <t>C-3-8_4</t>
  </si>
  <si>
    <t>C-3-8_5</t>
  </si>
  <si>
    <t>20°C Tørr</t>
  </si>
  <si>
    <t>20°C Våt</t>
  </si>
  <si>
    <t>40°C Tørr</t>
  </si>
  <si>
    <t>40°C Våt</t>
  </si>
  <si>
    <t>60°C Tørr</t>
  </si>
  <si>
    <t>60°C Våt</t>
  </si>
  <si>
    <t>Første testpinne i hvert sett skal ikke skylles</t>
  </si>
  <si>
    <t>20°C</t>
  </si>
  <si>
    <t>40°C</t>
  </si>
  <si>
    <t>60°C</t>
  </si>
  <si>
    <t>Maks</t>
  </si>
  <si>
    <t>Gjennomsnittlig permanent vektendring</t>
  </si>
  <si>
    <t>Resultater for PLA – vektendring og permanent endring</t>
  </si>
  <si>
    <t>Resultater for PETG – vektendring og permanent endring</t>
  </si>
  <si>
    <t>Max permanent</t>
  </si>
  <si>
    <t>Min permanent</t>
  </si>
  <si>
    <t>Max vektendring</t>
  </si>
  <si>
    <t>Min vektendring</t>
  </si>
  <si>
    <t xml:space="preserve">60°C </t>
  </si>
  <si>
    <t>DEL 1 - Vektendring</t>
  </si>
  <si>
    <t>Tabellen viser gjennomsnittlige verdier beregnet fra rådata presentert i fanen «PETG – Resultatberegninger».</t>
  </si>
  <si>
    <t>Tabell 2. Maksimums- og minimumsverdier brukt til feilfelt for vektendring.</t>
  </si>
  <si>
    <t>Tabell 1. Gjennomsnittlig vektendring brukt i resultatpresentasjon og punktdiagram.</t>
  </si>
  <si>
    <t>Tabellen viser maksimums- og minimumsverdier for vektendring ved ulike temperaturer og tilstander. Verdiene er hentet fra fanen «PETG – Resultatberegninger» og brukt som grunnlag for beregning av feilfelt i punktdiagrammet.</t>
  </si>
  <si>
    <t>Tabellen viser beregnede feilverdier brukt til feilfelt i punktdiagrammet. Verdiene er beregnet fra maksimums-, minimums- og gjennomsnittsverdier hentet fra fanen «PETG – Resultatberegninger».</t>
  </si>
  <si>
    <t>DEL 2 - Permanent vektendring</t>
  </si>
  <si>
    <t>Tabell 4. Gjennomsnittlig permanent vektendring brukt i resultatpresentasjon og stolpediagram.</t>
  </si>
  <si>
    <t>Tabellen viser beregnede feilverdier brukt til feilfelt i stolpediagrammet. Verdiene er beregnet fra maksimums-, minimums- og gjennomsnittsverdier hentet fra fanen «PETG – Resultatberegninger».</t>
  </si>
  <si>
    <t>Verdiene er beregnet fra rådata presentert i fanen «PETG – Resultatberegninger».</t>
  </si>
  <si>
    <t>Tabell 6. Beregnede feilverdier brukt til feilfelt for permanent vektendring.</t>
  </si>
  <si>
    <t>Tabell 3. Beregnede feilverdier brukt til feilfelt for vektendring.</t>
  </si>
  <si>
    <t>Dette vedlegget viser mellomregninger og beregnede verdier brukt som grunnlag for diagrammer og resultatpresentasjon i rapporten. Verdiene er beregnet fra rådata presentert i fanen «PETG – Resultatberegninger».</t>
  </si>
  <si>
    <t>Maks - gj.snitt</t>
  </si>
  <si>
    <t>Gj.snitt - min</t>
  </si>
  <si>
    <t>Verdier fra tabell 1. Gjennomsnittlig vektendring over tid</t>
  </si>
  <si>
    <t>Verdier fra tabell 3. Beregnede feilverdier brukt til feilfelt for vektendring.</t>
  </si>
  <si>
    <t>Resultater for PETG – vektendring</t>
  </si>
  <si>
    <t>Resultater for PETG – permanent endring</t>
  </si>
  <si>
    <t xml:space="preserve">Beregnede feilverdier brukt til feilfelt - permanent vektendring </t>
  </si>
  <si>
    <t>Tabell 5. Maksimums- og minimumsverdier brukt til feilfelt for permanent vektendring etter 48 timers tørking</t>
  </si>
  <si>
    <t>Tabellen viser gjennomsnittlige verdier beregnet fra rådata presentert i fanen «PLA – Resultatberegninger».</t>
  </si>
  <si>
    <t>Tabellen viser maksimums- og minimumsverdier for vektendring ved ulike temperaturer og tilstander. Verdiene er hentet fra fanen «PLA – Resultatberegninger» og brukt som grunnlag for beregning av feilfelt i punktdiagrammet.</t>
  </si>
  <si>
    <t>Tabellen viser beregnede feilverdier brukt til feilfelt i punktdiagrammet. Verdiene er beregnet fra maksimums-, minimums- og gjennomsnittsverdier hentet fra fanen «PLA – Resultatberegninger».</t>
  </si>
  <si>
    <t>Tabellen viser beregnede feilverdier brukt til feilfelt i stolpediagrammet. Verdiene er beregnet fra maksimums-, minimums- og gjennomsnittsverdier hentet fra fanen «PLA – Resultatberegninger».</t>
  </si>
  <si>
    <t>Verdiene er beregnet fra rådata presentert i fanen «PLA – Resultatberegninger».</t>
  </si>
  <si>
    <t>Resultater for PLA – vektendring</t>
  </si>
  <si>
    <t>Resultater for PLA – permanent endring</t>
  </si>
  <si>
    <t>Resultater for ASA – vektendring og permanent endring</t>
  </si>
  <si>
    <t>Resultater for ASA – vektendring</t>
  </si>
  <si>
    <t>Verdiene er beregnet fra rådata presentert i fanen «ASA – Resultatberegninger».</t>
  </si>
  <si>
    <t>Dette vedlegget viser mellomregninger og beregnede verdier brukt som grunnlag for diagrammer og resultatpresentasjon i rapporten. Verdiene er beregnet fra rådata presentert i fanen «ASA – Resultatberegninger».</t>
  </si>
  <si>
    <t>Tabellen viser gjennomsnittlige verdier beregnet fra rådata presentert i fanen «ASA – Resultatberegninger».</t>
  </si>
  <si>
    <t>Tabellen viser maksimums- og minimumsverdier for vektendring ved ulike temperaturer og tilstander. Verdiene er hentet fra fanen «ASA – Resultatberegninger» og brukt som grunnlag for beregning av feilfelt i punktdiagrammet.</t>
  </si>
  <si>
    <t>Tabellen viser beregnede feilverdier brukt til feilfelt i punktdiagrammet. Verdiene er beregnet fra maksimums-, minimums- og gjennomsnittsverdier hentet fra fanen «ASA – Resultatberegninger».</t>
  </si>
  <si>
    <t>Tabellen viser beregnede feilverdier brukt til feilfelt i stolpediagrammet. Verdiene er beregnet fra maksimums-, minimums- og gjennomsnittsverdier hentet fra fanen «ASA – Resultatberegninger».</t>
  </si>
  <si>
    <t>Dette vedlegget viser mellomregninger og beregnede verdier brukt som grunnlag for diagrammer og resultatpresentasjon i rapporten. Verdiene er beregnet fra rådata presentert i fanen «PLA – Resultatberegninger».</t>
  </si>
  <si>
    <t>Verdier fra tabell 4. Gjennomsnittlig permanent vektendring</t>
  </si>
  <si>
    <t xml:space="preserve">Verdier fra tabell 6. Beregnede feilverdier brukt til feilfelt - permanent vektendring </t>
  </si>
  <si>
    <t>Resultater for ASA – permanent endring</t>
  </si>
  <si>
    <t>Dette vedlegget viser beregnede gjennomsnittsverdier og feilverdier brukt i resultatpresentasjonen for ASA-prøvene.</t>
  </si>
  <si>
    <t>ASA – prosentberegninger</t>
  </si>
  <si>
    <t>Dette vedlegget viser beregnede gjennomsnittsverdier og feilverdier brukt i resultatpresentasjonen for PETG-prøvene.</t>
  </si>
  <si>
    <t>Dette vedlegget viser beregnede gjennomsnittsverdier og feilverdier brukt i resultatpresentasjonen for PLA-prøvene.</t>
  </si>
  <si>
    <t>Verdier hentet fra tabell 4. Gjennomsnittlig permanent vektendring</t>
  </si>
  <si>
    <t>Verdier hentet fra tabell 6. Beregnede feilverdier brukt til feilfelt for permanent vektendring.</t>
  </si>
  <si>
    <t xml:space="preserve">20°C </t>
  </si>
  <si>
    <t>Andel av vektopptaket som ble værende i materialet etter tørking</t>
  </si>
  <si>
    <t>Gj.snittlig vektendring (g)</t>
  </si>
  <si>
    <t>Gj.snittlig permanent endring (g)</t>
  </si>
  <si>
    <t>Permanent andel av opptak (%)</t>
  </si>
  <si>
    <t>PETG – prosentberegninger</t>
  </si>
  <si>
    <t xml:space="preserve"> 20°C </t>
  </si>
  <si>
    <t xml:space="preserve"> 40°C</t>
  </si>
  <si>
    <t>PLA – prosentberegninger</t>
  </si>
  <si>
    <t>ikke representavit</t>
  </si>
  <si>
    <t>Oversikt over andel av vektopptaket som ble værende i materialet etter tørking for alle materialene.</t>
  </si>
  <si>
    <t>40 °C</t>
  </si>
  <si>
    <t>20 °C</t>
  </si>
  <si>
    <t>60 °C</t>
  </si>
  <si>
    <t>Gjennomsnittlige verdier brukt i  resultatpresentasjonen for ASA</t>
  </si>
  <si>
    <t>Gjennomsnittlige verdier brukt i  resultatpresentasjonen for PETG</t>
  </si>
  <si>
    <t>Gjennomsnittlige verdier brukt i  resultatpresentasjonen for PLA</t>
  </si>
  <si>
    <t>Tabeller for  vektendring og permanent vektendring for PLA</t>
  </si>
  <si>
    <t>Tabeller for  vektendring og permanent vektendring for PETG</t>
  </si>
  <si>
    <t>Tabeller for  vektendring og permanent vektendring for 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</si>
</sst>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20" x14ac:knownFonts="1">
    <font>
      <sz val="11"/>
      <color theme="1"/>
      <name val="Aptos Narrow"/>
      <family val="2"/>
      <scheme val="minor"/>
    </font>
    <font>
      <sz val="18"/>
      <color theme="1"/>
      <name val="Aptos Narrow"/>
      <family val="2"/>
      <scheme val="minor"/>
    </font>
    <font>
      <sz val="8"/>
      <name val="Aptos Narrow"/>
      <family val="2"/>
      <scheme val="minor"/>
    </font>
    <font>
      <sz val="11"/>
      <name val="Aptos Narrow"/>
      <family val="2"/>
      <scheme val="minor"/>
    </font>
    <font>
      <sz val="11"/>
      <color rgb="FF000000"/>
      <name val="Aptos Narrow"/>
      <family val="2"/>
    </font>
    <font>
      <sz val="11"/>
      <color rgb="FFFF0000"/>
      <name val="Aptos Narrow"/>
      <family val="2"/>
      <scheme val="minor"/>
    </font>
    <font>
      <b/>
      <sz val="11"/>
      <color theme="1"/>
      <name val="Aptos Narrow"/>
      <family val="2"/>
      <scheme val="minor"/>
    </font>
    <font>
      <sz val="11"/>
      <color rgb="FFFF0000"/>
      <name val="Aptos Narrow"/>
      <family val="2"/>
    </font>
    <font>
      <sz val="11"/>
      <color rgb="FFFF0000"/>
      <name val="Aptos Narrow"/>
      <family val="2"/>
    </font>
    <font>
      <sz val="11"/>
      <color rgb="FF000000"/>
      <name val="Aptos Narrow"/>
      <family val="2"/>
      <scheme val="minor"/>
    </font>
    <font>
      <sz val="14"/>
      <color theme="1"/>
      <name val="Aptos Narrow"/>
      <family val="2"/>
      <scheme val="minor"/>
    </font>
    <font>
      <b/>
      <sz val="14"/>
      <color theme="1"/>
      <name val="Aptos Narrow"/>
      <family val="2"/>
      <scheme val="minor"/>
    </font>
    <font>
      <b/>
      <sz val="16"/>
      <color theme="1"/>
      <name val="Aptos Narrow"/>
      <family val="2"/>
      <scheme val="minor"/>
    </font>
    <font>
      <b/>
      <sz val="22"/>
      <color theme="1"/>
      <name val="Aptos Narrow"/>
      <family val="2"/>
      <scheme val="minor"/>
    </font>
    <font>
      <sz val="11"/>
      <color theme="1"/>
      <name val="Aptos Narrow"/>
      <family val="2"/>
      <scheme val="minor"/>
    </font>
    <font>
      <b/>
      <sz val="20"/>
      <color theme="1"/>
      <name val="Aptos Narrow"/>
      <family val="2"/>
      <scheme val="minor"/>
    </font>
    <font>
      <b/>
      <sz val="18"/>
      <color rgb="FF0070C0"/>
      <name val="Aptos Narrow"/>
      <family val="2"/>
      <scheme val="minor"/>
    </font>
    <font>
      <b/>
      <sz val="16"/>
      <color rgb="FF0070C0"/>
      <name val="Aptos Narrow"/>
      <family val="2"/>
      <scheme val="minor"/>
    </font>
    <font>
      <b/>
      <sz val="11"/>
      <color rgb="FF000000"/>
      <name val="Aptos Narrow"/>
      <family val="2"/>
      <scheme val="minor"/>
    </font>
    <font>
      <sz val="16"/>
      <color theme="1"/>
      <name val="Aptos Narrow"/>
      <family val="2"/>
      <scheme val="minor"/>
    </font>
  </fonts>
  <fills count="9">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3" tint="0.749992370372631"/>
        <bgColor indexed="64"/>
      </patternFill>
    </fill>
  </fills>
  <borders count="7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indexed="64"/>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bottom style="medium">
        <color rgb="FF000000"/>
      </bottom>
      <diagonal/>
    </border>
    <border>
      <left/>
      <right/>
      <top style="medium">
        <color rgb="FF000000"/>
      </top>
      <bottom style="medium">
        <color rgb="FF000000"/>
      </bottom>
      <diagonal/>
    </border>
    <border>
      <left/>
      <right style="thin">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top style="thin">
        <color indexed="64"/>
      </top>
      <bottom style="thin">
        <color indexed="64"/>
      </bottom>
      <diagonal/>
    </border>
    <border>
      <left style="thin">
        <color indexed="64"/>
      </left>
      <right/>
      <top style="medium">
        <color rgb="FF000000"/>
      </top>
      <bottom style="thin">
        <color indexed="64"/>
      </bottom>
      <diagonal/>
    </border>
    <border>
      <left style="thin">
        <color rgb="FF000000"/>
      </left>
      <right style="medium">
        <color rgb="FF000000"/>
      </right>
      <top style="medium">
        <color rgb="FF000000"/>
      </top>
      <bottom style="thin">
        <color rgb="FF000000"/>
      </bottom>
      <diagonal/>
    </border>
    <border>
      <left style="thin">
        <color indexed="64"/>
      </left>
      <right/>
      <top style="thin">
        <color indexed="64"/>
      </top>
      <bottom style="medium">
        <color rgb="FF000000"/>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style="medium">
        <color indexed="64"/>
      </top>
      <bottom style="medium">
        <color indexed="64"/>
      </bottom>
      <diagonal/>
    </border>
  </borders>
  <cellStyleXfs count="2">
    <xf numFmtId="0" fontId="0" fillId="0" borderId="0"/>
    <xf numFmtId="9" fontId="14" fillId="0" borderId="0" applyFont="0" applyFill="0" applyBorder="0" applyAlignment="0" applyProtection="0"/>
  </cellStyleXfs>
  <cellXfs count="211">
    <xf numFmtId="0" fontId="0" fillId="0" borderId="0" xfId="0"/>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5" xfId="0" applyBorder="1"/>
    <xf numFmtId="0" fontId="0" fillId="0" borderId="17" xfId="0" applyBorder="1"/>
    <xf numFmtId="0" fontId="0" fillId="0" borderId="4" xfId="0" applyBorder="1"/>
    <xf numFmtId="0" fontId="0" fillId="0" borderId="22" xfId="0" applyBorder="1"/>
    <xf numFmtId="0" fontId="0" fillId="0" borderId="23" xfId="0" applyBorder="1"/>
    <xf numFmtId="0" fontId="3" fillId="2" borderId="2" xfId="0" applyFont="1" applyFill="1" applyBorder="1"/>
    <xf numFmtId="0" fontId="3" fillId="0" borderId="0" xfId="0" applyFont="1"/>
    <xf numFmtId="0" fontId="3" fillId="2" borderId="3" xfId="0" applyFont="1" applyFill="1" applyBorder="1"/>
    <xf numFmtId="164" fontId="0" fillId="0" borderId="5" xfId="0" applyNumberFormat="1" applyBorder="1"/>
    <xf numFmtId="165" fontId="0" fillId="0" borderId="13" xfId="0" applyNumberFormat="1" applyBorder="1"/>
    <xf numFmtId="165" fontId="0" fillId="0" borderId="14" xfId="0" applyNumberFormat="1" applyBorder="1"/>
    <xf numFmtId="165" fontId="0" fillId="0" borderId="5" xfId="0" applyNumberFormat="1" applyBorder="1"/>
    <xf numFmtId="165" fontId="0" fillId="0" borderId="16" xfId="0" applyNumberFormat="1" applyBorder="1"/>
    <xf numFmtId="165" fontId="0" fillId="0" borderId="18" xfId="0" applyNumberFormat="1" applyBorder="1"/>
    <xf numFmtId="165" fontId="0" fillId="0" borderId="19" xfId="0" applyNumberFormat="1" applyBorder="1"/>
    <xf numFmtId="165" fontId="0" fillId="0" borderId="20" xfId="0" applyNumberFormat="1" applyBorder="1"/>
    <xf numFmtId="165" fontId="0" fillId="0" borderId="21" xfId="0" applyNumberFormat="1" applyBorder="1"/>
    <xf numFmtId="0" fontId="0" fillId="0" borderId="24" xfId="0" applyBorder="1"/>
    <xf numFmtId="0" fontId="0" fillId="0" borderId="25" xfId="0" applyBorder="1"/>
    <xf numFmtId="0" fontId="0" fillId="0" borderId="26" xfId="0" applyBorder="1"/>
    <xf numFmtId="165" fontId="0" fillId="0" borderId="0" xfId="0" applyNumberFormat="1"/>
    <xf numFmtId="0" fontId="1" fillId="0" borderId="0" xfId="0" applyFont="1" applyAlignment="1">
      <alignment horizontal="center"/>
    </xf>
    <xf numFmtId="0" fontId="1" fillId="0" borderId="27" xfId="0" applyFont="1" applyBorder="1" applyAlignment="1">
      <alignment horizontal="center"/>
    </xf>
    <xf numFmtId="0" fontId="0" fillId="0" borderId="28" xfId="0" applyBorder="1"/>
    <xf numFmtId="0" fontId="0" fillId="0" borderId="29" xfId="0" applyBorder="1"/>
    <xf numFmtId="0" fontId="0" fillId="0" borderId="30" xfId="0" applyBorder="1"/>
    <xf numFmtId="165" fontId="0" fillId="0" borderId="31" xfId="0" applyNumberFormat="1" applyBorder="1"/>
    <xf numFmtId="165" fontId="0" fillId="0" borderId="33" xfId="0" applyNumberFormat="1" applyBorder="1"/>
    <xf numFmtId="165" fontId="0" fillId="0" borderId="35" xfId="0" applyNumberFormat="1" applyBorder="1"/>
    <xf numFmtId="0" fontId="0" fillId="0" borderId="37" xfId="0" applyBorder="1"/>
    <xf numFmtId="0" fontId="0" fillId="0" borderId="38" xfId="0" applyBorder="1"/>
    <xf numFmtId="165" fontId="0" fillId="0" borderId="39" xfId="0" applyNumberFormat="1" applyBorder="1"/>
    <xf numFmtId="165" fontId="0" fillId="0" borderId="40" xfId="0" applyNumberFormat="1" applyBorder="1"/>
    <xf numFmtId="165" fontId="0" fillId="0" borderId="41" xfId="0" applyNumberFormat="1" applyBorder="1"/>
    <xf numFmtId="0" fontId="0" fillId="0" borderId="42" xfId="0" applyBorder="1"/>
    <xf numFmtId="0" fontId="3" fillId="2" borderId="43" xfId="0" applyFont="1" applyFill="1" applyBorder="1"/>
    <xf numFmtId="0" fontId="0" fillId="0" borderId="44" xfId="0" applyBorder="1"/>
    <xf numFmtId="0" fontId="4" fillId="0" borderId="32" xfId="0" applyFont="1" applyBorder="1"/>
    <xf numFmtId="0" fontId="4" fillId="0" borderId="34" xfId="0" applyFont="1" applyBorder="1"/>
    <xf numFmtId="16" fontId="0" fillId="0" borderId="2" xfId="0" applyNumberFormat="1" applyBorder="1"/>
    <xf numFmtId="0" fontId="7" fillId="0" borderId="46" xfId="0" applyFont="1" applyBorder="1"/>
    <xf numFmtId="0" fontId="8" fillId="0" borderId="46" xfId="0" applyFont="1" applyBorder="1"/>
    <xf numFmtId="0" fontId="0" fillId="0" borderId="47" xfId="0" applyBorder="1"/>
    <xf numFmtId="165" fontId="0" fillId="0" borderId="48" xfId="0" applyNumberFormat="1" applyBorder="1"/>
    <xf numFmtId="165" fontId="5" fillId="0" borderId="49" xfId="0" applyNumberFormat="1" applyFont="1" applyBorder="1"/>
    <xf numFmtId="165" fontId="0" fillId="0" borderId="50" xfId="0" applyNumberFormat="1" applyBorder="1"/>
    <xf numFmtId="0" fontId="0" fillId="0" borderId="51" xfId="0" applyBorder="1"/>
    <xf numFmtId="165" fontId="0" fillId="0" borderId="52" xfId="0" applyNumberFormat="1" applyBorder="1"/>
    <xf numFmtId="0" fontId="0" fillId="0" borderId="53" xfId="0" applyBorder="1"/>
    <xf numFmtId="165" fontId="0" fillId="0" borderId="54" xfId="0" applyNumberFormat="1" applyBorder="1"/>
    <xf numFmtId="0" fontId="8" fillId="0" borderId="55" xfId="0" applyFont="1" applyBorder="1"/>
    <xf numFmtId="165" fontId="0" fillId="0" borderId="56" xfId="0" applyNumberFormat="1" applyBorder="1"/>
    <xf numFmtId="165" fontId="0" fillId="0" borderId="57" xfId="0" applyNumberFormat="1" applyBorder="1"/>
    <xf numFmtId="165" fontId="0" fillId="0" borderId="58" xfId="0" applyNumberFormat="1" applyBorder="1"/>
    <xf numFmtId="0" fontId="8" fillId="0" borderId="59" xfId="0" applyFont="1" applyBorder="1"/>
    <xf numFmtId="0" fontId="8" fillId="0" borderId="33" xfId="0" applyFont="1" applyBorder="1"/>
    <xf numFmtId="165" fontId="0" fillId="0" borderId="60" xfId="0" applyNumberFormat="1" applyBorder="1"/>
    <xf numFmtId="0" fontId="8" fillId="0" borderId="35" xfId="0" applyFont="1" applyBorder="1"/>
    <xf numFmtId="16" fontId="0" fillId="0" borderId="3" xfId="0" applyNumberFormat="1" applyBorder="1"/>
    <xf numFmtId="0" fontId="9" fillId="0" borderId="0" xfId="0" applyFont="1"/>
    <xf numFmtId="0" fontId="0" fillId="3" borderId="0" xfId="0" applyFill="1"/>
    <xf numFmtId="0" fontId="0" fillId="3" borderId="5" xfId="0" applyFill="1" applyBorder="1"/>
    <xf numFmtId="16" fontId="0" fillId="3" borderId="5" xfId="0" applyNumberFormat="1" applyFill="1" applyBorder="1"/>
    <xf numFmtId="165" fontId="0" fillId="3" borderId="5" xfId="0" applyNumberFormat="1" applyFill="1" applyBorder="1"/>
    <xf numFmtId="0" fontId="0" fillId="0" borderId="5" xfId="0" applyBorder="1"/>
    <xf numFmtId="16" fontId="0" fillId="0" borderId="5" xfId="0" applyNumberFormat="1" applyBorder="1"/>
    <xf numFmtId="165" fontId="0" fillId="4" borderId="5" xfId="0" applyNumberFormat="1" applyFill="1" applyBorder="1"/>
    <xf numFmtId="0" fontId="0" fillId="4" borderId="5" xfId="0" applyFill="1" applyBorder="1"/>
    <xf numFmtId="16" fontId="0" fillId="4" borderId="5" xfId="0" applyNumberFormat="1" applyFill="1" applyBorder="1"/>
    <xf numFmtId="0" fontId="0" fillId="3" borderId="15" xfId="0" applyFill="1" applyBorder="1"/>
    <xf numFmtId="165" fontId="0" fillId="3" borderId="16" xfId="0" applyNumberFormat="1" applyFill="1" applyBorder="1"/>
    <xf numFmtId="0" fontId="0" fillId="3" borderId="16" xfId="0" applyFill="1" applyBorder="1"/>
    <xf numFmtId="0" fontId="0" fillId="0" borderId="16" xfId="0" applyBorder="1"/>
    <xf numFmtId="0" fontId="0" fillId="4" borderId="15" xfId="0" applyFill="1" applyBorder="1"/>
    <xf numFmtId="0" fontId="0" fillId="0" borderId="18" xfId="0" applyBorder="1"/>
    <xf numFmtId="16" fontId="0" fillId="0" borderId="18" xfId="0" applyNumberFormat="1" applyBorder="1"/>
    <xf numFmtId="0" fontId="0" fillId="0" borderId="19" xfId="0" applyBorder="1"/>
    <xf numFmtId="0" fontId="0" fillId="4" borderId="17" xfId="0" applyFill="1" applyBorder="1"/>
    <xf numFmtId="0" fontId="0" fillId="3" borderId="61" xfId="0" applyFill="1" applyBorder="1"/>
    <xf numFmtId="0" fontId="0" fillId="0" borderId="61" xfId="0" applyBorder="1"/>
    <xf numFmtId="0" fontId="0" fillId="4" borderId="61" xfId="0" applyFill="1" applyBorder="1"/>
    <xf numFmtId="0" fontId="0" fillId="4" borderId="62" xfId="0" applyFill="1" applyBorder="1"/>
    <xf numFmtId="16" fontId="0" fillId="3" borderId="57" xfId="0" applyNumberFormat="1" applyFill="1" applyBorder="1"/>
    <xf numFmtId="16" fontId="0" fillId="0" borderId="57" xfId="0" applyNumberFormat="1" applyBorder="1"/>
    <xf numFmtId="165" fontId="0" fillId="3" borderId="61" xfId="0" applyNumberFormat="1" applyFill="1" applyBorder="1"/>
    <xf numFmtId="165" fontId="0" fillId="0" borderId="61" xfId="0" applyNumberFormat="1" applyBorder="1"/>
    <xf numFmtId="16" fontId="0" fillId="4" borderId="57" xfId="0" applyNumberFormat="1" applyFill="1" applyBorder="1"/>
    <xf numFmtId="16" fontId="0" fillId="0" borderId="63" xfId="0" applyNumberFormat="1" applyBorder="1"/>
    <xf numFmtId="165" fontId="0" fillId="4" borderId="61" xfId="0" applyNumberFormat="1" applyFill="1" applyBorder="1"/>
    <xf numFmtId="165" fontId="0" fillId="0" borderId="62" xfId="0" applyNumberFormat="1" applyBorder="1"/>
    <xf numFmtId="0" fontId="0" fillId="3" borderId="62" xfId="0" applyFill="1" applyBorder="1"/>
    <xf numFmtId="0" fontId="0" fillId="3" borderId="18" xfId="0" applyFill="1" applyBorder="1"/>
    <xf numFmtId="165" fontId="0" fillId="3" borderId="65" xfId="0" applyNumberFormat="1" applyFill="1" applyBorder="1"/>
    <xf numFmtId="0" fontId="0" fillId="3" borderId="65" xfId="0" applyFill="1" applyBorder="1"/>
    <xf numFmtId="0" fontId="0" fillId="0" borderId="65" xfId="0" applyBorder="1"/>
    <xf numFmtId="0" fontId="0" fillId="0" borderId="66" xfId="0" applyBorder="1"/>
    <xf numFmtId="0" fontId="0" fillId="4" borderId="18" xfId="0" applyFill="1" applyBorder="1"/>
    <xf numFmtId="164" fontId="0" fillId="0" borderId="0" xfId="0" applyNumberFormat="1"/>
    <xf numFmtId="0" fontId="10" fillId="5" borderId="5" xfId="0" applyFont="1" applyFill="1" applyBorder="1" applyAlignment="1">
      <alignment horizontal="center"/>
    </xf>
    <xf numFmtId="0" fontId="11" fillId="0" borderId="0" xfId="0" applyFont="1"/>
    <xf numFmtId="0" fontId="3" fillId="0" borderId="68" xfId="0" applyFont="1" applyBorder="1"/>
    <xf numFmtId="0" fontId="0" fillId="3" borderId="57" xfId="0" applyFill="1" applyBorder="1"/>
    <xf numFmtId="0" fontId="0" fillId="0" borderId="57" xfId="0" applyBorder="1"/>
    <xf numFmtId="0" fontId="10" fillId="3" borderId="5" xfId="0" applyFont="1" applyFill="1" applyBorder="1" applyAlignment="1">
      <alignment horizontal="center"/>
    </xf>
    <xf numFmtId="0" fontId="0" fillId="0" borderId="5" xfId="0" applyBorder="1" applyAlignment="1">
      <alignment horizontal="center"/>
    </xf>
    <xf numFmtId="0" fontId="12" fillId="0" borderId="0" xfId="0" applyFont="1"/>
    <xf numFmtId="0" fontId="13" fillId="0" borderId="0" xfId="0" applyFont="1"/>
    <xf numFmtId="165" fontId="0" fillId="0" borderId="5" xfId="0" applyNumberFormat="1" applyBorder="1" applyAlignment="1">
      <alignment horizontal="right"/>
    </xf>
    <xf numFmtId="0" fontId="10" fillId="7" borderId="5" xfId="0" applyFont="1" applyFill="1" applyBorder="1" applyAlignment="1">
      <alignment horizontal="center"/>
    </xf>
    <xf numFmtId="0" fontId="0" fillId="3" borderId="5" xfId="0" applyFill="1" applyBorder="1" applyAlignment="1">
      <alignment wrapText="1"/>
    </xf>
    <xf numFmtId="0" fontId="5" fillId="0" borderId="0" xfId="0" applyFont="1"/>
    <xf numFmtId="0" fontId="15" fillId="0" borderId="0" xfId="0" applyFont="1"/>
    <xf numFmtId="0" fontId="0" fillId="0" borderId="0" xfId="0" applyAlignment="1">
      <alignment wrapText="1"/>
    </xf>
    <xf numFmtId="0" fontId="10" fillId="0" borderId="0" xfId="0" applyFont="1" applyAlignment="1">
      <alignment horizontal="center"/>
    </xf>
    <xf numFmtId="0" fontId="0" fillId="0" borderId="0" xfId="0" applyAlignment="1">
      <alignment horizontal="center"/>
    </xf>
    <xf numFmtId="165" fontId="0" fillId="0" borderId="65" xfId="0" applyNumberFormat="1" applyBorder="1"/>
    <xf numFmtId="0" fontId="0" fillId="0" borderId="69" xfId="0" applyBorder="1"/>
    <xf numFmtId="0" fontId="16" fillId="0" borderId="0" xfId="0" applyFont="1"/>
    <xf numFmtId="0" fontId="10" fillId="0" borderId="0" xfId="0" applyFont="1"/>
    <xf numFmtId="0" fontId="0" fillId="0" borderId="0" xfId="0" applyAlignment="1">
      <alignment horizontal="left" wrapText="1"/>
    </xf>
    <xf numFmtId="0" fontId="0" fillId="0" borderId="0" xfId="0" applyAlignment="1">
      <alignment vertical="top"/>
    </xf>
    <xf numFmtId="0" fontId="0" fillId="0" borderId="0" xfId="0" applyAlignment="1">
      <alignment horizontal="left" vertical="top" wrapText="1"/>
    </xf>
    <xf numFmtId="0" fontId="10" fillId="8" borderId="5" xfId="0" applyFont="1" applyFill="1" applyBorder="1" applyAlignment="1">
      <alignment horizontal="center"/>
    </xf>
    <xf numFmtId="0" fontId="10" fillId="6" borderId="5" xfId="0" applyFont="1" applyFill="1" applyBorder="1" applyAlignment="1">
      <alignment horizontal="center"/>
    </xf>
    <xf numFmtId="0" fontId="0" fillId="6" borderId="5" xfId="0" applyFill="1" applyBorder="1" applyAlignment="1">
      <alignment wrapText="1"/>
    </xf>
    <xf numFmtId="0" fontId="10" fillId="3" borderId="5" xfId="0" applyFont="1" applyFill="1" applyBorder="1"/>
    <xf numFmtId="0" fontId="10" fillId="6" borderId="20" xfId="0" applyFont="1" applyFill="1" applyBorder="1" applyAlignment="1">
      <alignment horizontal="center"/>
    </xf>
    <xf numFmtId="0" fontId="10" fillId="0" borderId="71" xfId="0" applyFont="1" applyBorder="1" applyAlignment="1">
      <alignment horizontal="center"/>
    </xf>
    <xf numFmtId="0" fontId="10" fillId="0" borderId="67" xfId="0" applyFont="1" applyBorder="1" applyAlignment="1">
      <alignment horizontal="center"/>
    </xf>
    <xf numFmtId="0" fontId="10" fillId="3" borderId="20" xfId="0" applyFont="1" applyFill="1" applyBorder="1" applyAlignment="1">
      <alignment horizontal="center"/>
    </xf>
    <xf numFmtId="0" fontId="17" fillId="0" borderId="0" xfId="0" applyFont="1"/>
    <xf numFmtId="0" fontId="18" fillId="0" borderId="0" xfId="0" applyFont="1"/>
    <xf numFmtId="0" fontId="19" fillId="0" borderId="0" xfId="0" applyFont="1"/>
    <xf numFmtId="10" fontId="0" fillId="0" borderId="0" xfId="0" applyNumberFormat="1"/>
    <xf numFmtId="165" fontId="0" fillId="0" borderId="5" xfId="0" applyNumberFormat="1" applyBorder="1" applyAlignment="1">
      <alignment horizontal="center"/>
    </xf>
    <xf numFmtId="10" fontId="0" fillId="0" borderId="5" xfId="0" applyNumberFormat="1" applyBorder="1" applyAlignment="1">
      <alignment horizontal="center"/>
    </xf>
    <xf numFmtId="10" fontId="0" fillId="0" borderId="5" xfId="1" applyNumberFormat="1" applyFont="1" applyBorder="1"/>
    <xf numFmtId="10" fontId="0" fillId="0" borderId="5" xfId="1" quotePrefix="1" applyNumberFormat="1" applyFont="1" applyBorder="1"/>
    <xf numFmtId="0" fontId="5" fillId="0" borderId="0" xfId="0" quotePrefix="1" applyFont="1" applyAlignment="1">
      <alignment horizontal="left" vertical="center" indent="1"/>
    </xf>
    <xf numFmtId="0" fontId="0" fillId="3" borderId="22" xfId="0" applyFill="1" applyBorder="1"/>
    <xf numFmtId="0" fontId="0" fillId="3" borderId="67" xfId="0" applyFill="1" applyBorder="1"/>
    <xf numFmtId="0" fontId="0" fillId="3" borderId="20" xfId="0" applyFill="1" applyBorder="1"/>
    <xf numFmtId="16" fontId="0" fillId="3" borderId="20" xfId="0" applyNumberFormat="1" applyFill="1" applyBorder="1"/>
    <xf numFmtId="165" fontId="0" fillId="3" borderId="20" xfId="0" applyNumberFormat="1" applyFill="1" applyBorder="1"/>
    <xf numFmtId="165" fontId="0" fillId="3" borderId="21" xfId="0" applyNumberFormat="1" applyFill="1" applyBorder="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0" borderId="0" xfId="0" applyFont="1" applyAlignment="1">
      <alignment horizontal="center"/>
    </xf>
    <xf numFmtId="0" fontId="0" fillId="0" borderId="28" xfId="0" applyBorder="1" applyAlignment="1">
      <alignment horizontal="center"/>
    </xf>
    <xf numFmtId="0" fontId="0" fillId="0" borderId="45" xfId="0" applyBorder="1" applyAlignment="1">
      <alignment horizontal="center"/>
    </xf>
    <xf numFmtId="0" fontId="0" fillId="0" borderId="29" xfId="0" applyBorder="1" applyAlignment="1">
      <alignment horizontal="center"/>
    </xf>
    <xf numFmtId="0" fontId="6" fillId="0" borderId="13"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17" xfId="0" applyFont="1" applyBorder="1" applyAlignment="1">
      <alignment horizontal="center"/>
    </xf>
    <xf numFmtId="0" fontId="6" fillId="0" borderId="14" xfId="0" applyFont="1" applyBorder="1" applyAlignment="1">
      <alignment horizontal="center"/>
    </xf>
    <xf numFmtId="0" fontId="6" fillId="0" borderId="19" xfId="0" applyFont="1" applyBorder="1" applyAlignment="1">
      <alignment horizontal="center"/>
    </xf>
    <xf numFmtId="0" fontId="6" fillId="0" borderId="13" xfId="0" applyFont="1" applyBorder="1" applyAlignment="1">
      <alignment horizontal="center" wrapText="1"/>
    </xf>
    <xf numFmtId="0" fontId="6" fillId="0" borderId="18" xfId="0" applyFont="1" applyBorder="1" applyAlignment="1">
      <alignment horizontal="center" wrapText="1"/>
    </xf>
    <xf numFmtId="0" fontId="6" fillId="4" borderId="13" xfId="0" applyFont="1" applyFill="1" applyBorder="1" applyAlignment="1">
      <alignment horizontal="center" wrapText="1"/>
    </xf>
    <xf numFmtId="0" fontId="6" fillId="4" borderId="18" xfId="0" applyFont="1" applyFill="1" applyBorder="1" applyAlignment="1">
      <alignment horizontal="center" wrapText="1"/>
    </xf>
    <xf numFmtId="0" fontId="0" fillId="0" borderId="0" xfId="0" applyAlignment="1">
      <alignment horizontal="left" vertical="top" wrapText="1"/>
    </xf>
    <xf numFmtId="0" fontId="10" fillId="8" borderId="5" xfId="0" applyFont="1" applyFill="1" applyBorder="1" applyAlignment="1">
      <alignment horizontal="center"/>
    </xf>
    <xf numFmtId="0" fontId="10" fillId="6" borderId="57" xfId="0" applyFont="1" applyFill="1" applyBorder="1" applyAlignment="1">
      <alignment horizontal="center"/>
    </xf>
    <xf numFmtId="0" fontId="10" fillId="6" borderId="61" xfId="0" applyFont="1" applyFill="1" applyBorder="1" applyAlignment="1">
      <alignment horizontal="center"/>
    </xf>
    <xf numFmtId="0" fontId="10" fillId="8" borderId="70" xfId="0" applyFont="1" applyFill="1" applyBorder="1" applyAlignment="1">
      <alignment horizontal="center"/>
    </xf>
    <xf numFmtId="0" fontId="10" fillId="8" borderId="61" xfId="0" applyFont="1" applyFill="1" applyBorder="1" applyAlignment="1">
      <alignment horizontal="center"/>
    </xf>
    <xf numFmtId="0" fontId="10" fillId="8" borderId="57" xfId="0" applyFont="1" applyFill="1" applyBorder="1" applyAlignment="1">
      <alignment horizontal="center"/>
    </xf>
    <xf numFmtId="0" fontId="10" fillId="6" borderId="70" xfId="0" applyFont="1" applyFill="1" applyBorder="1" applyAlignment="1">
      <alignment horizontal="center"/>
    </xf>
    <xf numFmtId="0" fontId="0" fillId="0" borderId="0" xfId="0" applyAlignment="1">
      <alignment horizontal="left" wrapText="1"/>
    </xf>
    <xf numFmtId="0" fontId="10" fillId="7" borderId="5" xfId="0" applyFont="1" applyFill="1" applyBorder="1" applyAlignment="1">
      <alignment horizontal="center"/>
    </xf>
    <xf numFmtId="0" fontId="10" fillId="0" borderId="0" xfId="0" applyFont="1" applyAlignment="1">
      <alignment horizontal="center"/>
    </xf>
    <xf numFmtId="0" fontId="10" fillId="7" borderId="70" xfId="0" applyFont="1" applyFill="1" applyBorder="1" applyAlignment="1">
      <alignment horizontal="center"/>
    </xf>
    <xf numFmtId="0" fontId="10" fillId="7" borderId="61" xfId="0" applyFont="1" applyFill="1" applyBorder="1" applyAlignment="1">
      <alignment horizontal="center"/>
    </xf>
    <xf numFmtId="0" fontId="10" fillId="7" borderId="57" xfId="0" applyFont="1" applyFill="1" applyBorder="1" applyAlignment="1">
      <alignment horizontal="center"/>
    </xf>
    <xf numFmtId="0" fontId="10" fillId="3" borderId="70" xfId="0" applyFont="1" applyFill="1" applyBorder="1" applyAlignment="1">
      <alignment horizontal="center"/>
    </xf>
    <xf numFmtId="0" fontId="10" fillId="3" borderId="61" xfId="0" applyFont="1" applyFill="1" applyBorder="1" applyAlignment="1">
      <alignment horizontal="center"/>
    </xf>
    <xf numFmtId="0" fontId="10" fillId="3" borderId="57" xfId="0" applyFont="1" applyFill="1" applyBorder="1" applyAlignment="1">
      <alignment horizontal="center"/>
    </xf>
    <xf numFmtId="0" fontId="10" fillId="3" borderId="5" xfId="0" applyFont="1" applyFill="1" applyBorder="1" applyAlignment="1">
      <alignment horizontal="center" wrapText="1"/>
    </xf>
    <xf numFmtId="0" fontId="10" fillId="3" borderId="5" xfId="0" applyFont="1" applyFill="1" applyBorder="1" applyAlignment="1">
      <alignment horizontal="center"/>
    </xf>
    <xf numFmtId="0" fontId="3" fillId="2" borderId="36" xfId="0" applyFont="1" applyFill="1" applyBorder="1" applyAlignment="1">
      <alignment horizontal="center"/>
    </xf>
    <xf numFmtId="0" fontId="3" fillId="2" borderId="43" xfId="0" applyFont="1" applyFill="1" applyBorder="1" applyAlignment="1">
      <alignment horizontal="center"/>
    </xf>
    <xf numFmtId="0" fontId="6" fillId="0" borderId="72" xfId="0" applyFont="1" applyBorder="1" applyAlignment="1">
      <alignment horizontal="center"/>
    </xf>
    <xf numFmtId="0" fontId="6" fillId="0" borderId="73" xfId="0" applyFont="1" applyBorder="1" applyAlignment="1">
      <alignment horizontal="center"/>
    </xf>
    <xf numFmtId="0" fontId="6" fillId="0" borderId="64" xfId="0" applyFont="1" applyBorder="1" applyAlignment="1">
      <alignment horizontal="center"/>
    </xf>
    <xf numFmtId="0" fontId="6" fillId="0" borderId="75" xfId="0" applyFont="1" applyBorder="1" applyAlignment="1">
      <alignment horizontal="center" wrapText="1"/>
    </xf>
    <xf numFmtId="0" fontId="6" fillId="0" borderId="71" xfId="0" applyFont="1" applyBorder="1" applyAlignment="1">
      <alignment horizontal="center" wrapText="1"/>
    </xf>
    <xf numFmtId="0" fontId="6" fillId="0" borderId="76" xfId="0" applyFont="1" applyBorder="1" applyAlignment="1">
      <alignment horizontal="center" wrapText="1"/>
    </xf>
    <xf numFmtId="0" fontId="6" fillId="0" borderId="6" xfId="0" applyFont="1" applyBorder="1" applyAlignment="1">
      <alignment wrapText="1"/>
    </xf>
    <xf numFmtId="0" fontId="6" fillId="0" borderId="77" xfId="0" applyFont="1" applyBorder="1" applyAlignment="1">
      <alignment wrapText="1"/>
    </xf>
    <xf numFmtId="0" fontId="6" fillId="0" borderId="7" xfId="0" applyFont="1" applyBorder="1" applyAlignment="1">
      <alignment wrapText="1"/>
    </xf>
    <xf numFmtId="0" fontId="6" fillId="4" borderId="7" xfId="0" applyFont="1" applyFill="1" applyBorder="1" applyAlignment="1">
      <alignment wrapText="1"/>
    </xf>
    <xf numFmtId="0" fontId="6" fillId="0" borderId="3" xfId="0" applyFont="1" applyBorder="1" applyAlignment="1">
      <alignment wrapText="1"/>
    </xf>
    <xf numFmtId="0" fontId="6" fillId="0" borderId="57" xfId="0" applyFont="1" applyBorder="1" applyAlignment="1">
      <alignment horizontal="center" wrapText="1"/>
    </xf>
    <xf numFmtId="0" fontId="6" fillId="0" borderId="70" xfId="0" applyFont="1" applyBorder="1" applyAlignment="1">
      <alignment horizontal="center" wrapText="1"/>
    </xf>
    <xf numFmtId="0" fontId="6" fillId="0" borderId="61" xfId="0" applyFont="1" applyBorder="1" applyAlignment="1">
      <alignment horizontal="center" wrapText="1"/>
    </xf>
    <xf numFmtId="0" fontId="6" fillId="0" borderId="74" xfId="0" applyFont="1" applyBorder="1" applyAlignment="1">
      <alignment horizontal="center" wrapText="1"/>
    </xf>
    <xf numFmtId="0" fontId="6" fillId="0" borderId="67" xfId="0" applyFont="1" applyBorder="1" applyAlignment="1">
      <alignment horizontal="center" wrapText="1"/>
    </xf>
  </cellXfs>
  <cellStyles count="2">
    <cellStyle name="Normal" xfId="0" builtinId="0"/>
    <cellStyle name="Pros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400" b="0" i="0" u="none" strike="noStrike" baseline="0"/>
              <a:t>Gjennomsnittlig vektendring over tid for PLA</a:t>
            </a: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1"/>
          <c:order val="0"/>
          <c:tx>
            <c:strRef>
              <c:f>'PLA-Diagram'!$B$10</c:f>
              <c:strCache>
                <c:ptCount val="1"/>
                <c:pt idx="0">
                  <c:v>20°C Tørr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'PLA-Diagram'!$B$21:$B$24</c:f>
                <c:numCache>
                  <c:formatCode>General</c:formatCode>
                  <c:ptCount val="4"/>
                  <c:pt idx="0">
                    <c:v>7.0600000000000211E-3</c:v>
                  </c:pt>
                  <c:pt idx="1">
                    <c:v>1.6399999999999054E-3</c:v>
                  </c:pt>
                  <c:pt idx="2">
                    <c:v>2.9300000000000145E-2</c:v>
                  </c:pt>
                  <c:pt idx="3">
                    <c:v>3.0399999999999733E-3</c:v>
                  </c:pt>
                </c:numCache>
              </c:numRef>
            </c:plus>
            <c:minus>
              <c:numRef>
                <c:f>'PLA-Diagram'!$C$21:$C$24</c:f>
                <c:numCache>
                  <c:formatCode>General</c:formatCode>
                  <c:ptCount val="4"/>
                  <c:pt idx="0">
                    <c:v>6.1400000000000794E-3</c:v>
                  </c:pt>
                  <c:pt idx="1">
                    <c:v>2.659999999999843E-3</c:v>
                  </c:pt>
                  <c:pt idx="2">
                    <c:v>1.7100000000000073E-2</c:v>
                  </c:pt>
                  <c:pt idx="3">
                    <c:v>7.1600000000000136E-3</c:v>
                  </c:pt>
                </c:numCache>
              </c:numRef>
            </c:minus>
            <c:spPr>
              <a:noFill/>
              <a:ln w="9525" cap="flat" cmpd="sng" algn="ctr">
                <a:solidFill>
                  <a:schemeClr val="tx1">
                    <a:lumMod val="65000"/>
                    <a:lumOff val="35000"/>
                  </a:schemeClr>
                </a:solidFill>
                <a:round/>
              </a:ln>
              <a:effectLst/>
            </c:spPr>
          </c:errBars>
          <c:cat>
            <c:numRef>
              <c:f>'PLA-Diagram'!$A$11:$A$14</c:f>
              <c:numCache>
                <c:formatCode>General</c:formatCode>
                <c:ptCount val="4"/>
                <c:pt idx="0">
                  <c:v>3</c:v>
                </c:pt>
                <c:pt idx="1">
                  <c:v>6</c:v>
                </c:pt>
                <c:pt idx="2">
                  <c:v>9</c:v>
                </c:pt>
                <c:pt idx="3">
                  <c:v>12</c:v>
                </c:pt>
              </c:numCache>
            </c:numRef>
          </c:cat>
          <c:val>
            <c:numRef>
              <c:f>'PLA-Diagram'!$B$11:$B$14</c:f>
              <c:numCache>
                <c:formatCode>0.0000</c:formatCode>
                <c:ptCount val="4"/>
                <c:pt idx="0">
                  <c:v>2.9439999999999956E-2</c:v>
                </c:pt>
                <c:pt idx="1">
                  <c:v>3.9160000000000042E-2</c:v>
                </c:pt>
                <c:pt idx="2">
                  <c:v>4.8000000000000001E-2</c:v>
                </c:pt>
                <c:pt idx="3">
                  <c:v>5.9959999999999972E-2</c:v>
                </c:pt>
              </c:numCache>
            </c:numRef>
          </c:val>
          <c:smooth val="0"/>
          <c:extLst>
            <c:ext xmlns:c16="http://schemas.microsoft.com/office/drawing/2014/chart" uri="{C3380CC4-5D6E-409C-BE32-E72D297353CC}">
              <c16:uniqueId val="{00000001-0526-403F-B380-A0F109B84790}"/>
            </c:ext>
          </c:extLst>
        </c:ser>
        <c:ser>
          <c:idx val="2"/>
          <c:order val="1"/>
          <c:tx>
            <c:strRef>
              <c:f>'PLA-Diagram'!$C$10</c:f>
              <c:strCache>
                <c:ptCount val="1"/>
                <c:pt idx="0">
                  <c:v>20°C Våt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errBars>
            <c:errDir val="y"/>
            <c:errBarType val="both"/>
            <c:errValType val="cust"/>
            <c:noEndCap val="0"/>
            <c:plus>
              <c:numRef>
                <c:f>'PLA-Diagram'!$D$21:$D$24</c:f>
                <c:numCache>
                  <c:formatCode>General</c:formatCode>
                  <c:ptCount val="4"/>
                  <c:pt idx="0">
                    <c:v>8.6799999999998892E-3</c:v>
                  </c:pt>
                  <c:pt idx="1">
                    <c:v>4.4599999999999501E-3</c:v>
                  </c:pt>
                  <c:pt idx="2">
                    <c:v>1.4799999999999883E-2</c:v>
                  </c:pt>
                  <c:pt idx="3">
                    <c:v>3.9999999999999619E-3</c:v>
                  </c:pt>
                </c:numCache>
              </c:numRef>
            </c:plus>
            <c:minus>
              <c:numRef>
                <c:f>'PLA-Diagram'!$E$21:$E$24</c:f>
                <c:numCache>
                  <c:formatCode>General</c:formatCode>
                  <c:ptCount val="4"/>
                  <c:pt idx="0">
                    <c:v>5.1199999999999232E-3</c:v>
                  </c:pt>
                  <c:pt idx="1">
                    <c:v>7.9400000000000165E-3</c:v>
                  </c:pt>
                  <c:pt idx="2">
                    <c:v>8.6999999999999716E-3</c:v>
                  </c:pt>
                  <c:pt idx="3">
                    <c:v>2.3000000000000104E-3</c:v>
                  </c:pt>
                </c:numCache>
              </c:numRef>
            </c:minus>
            <c:spPr>
              <a:noFill/>
              <a:ln w="9525" cap="flat" cmpd="sng" algn="ctr">
                <a:solidFill>
                  <a:schemeClr val="tx1">
                    <a:lumMod val="65000"/>
                    <a:lumOff val="35000"/>
                  </a:schemeClr>
                </a:solidFill>
                <a:round/>
              </a:ln>
              <a:effectLst/>
            </c:spPr>
          </c:errBars>
          <c:cat>
            <c:numRef>
              <c:f>'PLA-Diagram'!$A$11:$A$14</c:f>
              <c:numCache>
                <c:formatCode>General</c:formatCode>
                <c:ptCount val="4"/>
                <c:pt idx="0">
                  <c:v>3</c:v>
                </c:pt>
                <c:pt idx="1">
                  <c:v>6</c:v>
                </c:pt>
                <c:pt idx="2">
                  <c:v>9</c:v>
                </c:pt>
                <c:pt idx="3">
                  <c:v>12</c:v>
                </c:pt>
              </c:numCache>
            </c:numRef>
          </c:cat>
          <c:val>
            <c:numRef>
              <c:f>'PLA-Diagram'!$C$11:$C$14</c:f>
              <c:numCache>
                <c:formatCode>0.0000</c:formatCode>
                <c:ptCount val="4"/>
                <c:pt idx="0">
                  <c:v>3.2320000000000036E-2</c:v>
                </c:pt>
                <c:pt idx="1">
                  <c:v>3.6939999999999931E-2</c:v>
                </c:pt>
                <c:pt idx="2" formatCode="General">
                  <c:v>4.4700000000000004E-2</c:v>
                </c:pt>
                <c:pt idx="3" formatCode="General">
                  <c:v>5.2700000000000011E-2</c:v>
                </c:pt>
              </c:numCache>
            </c:numRef>
          </c:val>
          <c:smooth val="0"/>
          <c:extLst>
            <c:ext xmlns:c16="http://schemas.microsoft.com/office/drawing/2014/chart" uri="{C3380CC4-5D6E-409C-BE32-E72D297353CC}">
              <c16:uniqueId val="{00000002-0526-403F-B380-A0F109B84790}"/>
            </c:ext>
          </c:extLst>
        </c:ser>
        <c:ser>
          <c:idx val="3"/>
          <c:order val="2"/>
          <c:tx>
            <c:strRef>
              <c:f>'PLA-Diagram'!$D$10</c:f>
              <c:strCache>
                <c:ptCount val="1"/>
                <c:pt idx="0">
                  <c:v>40°C Tørr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errBars>
            <c:errDir val="y"/>
            <c:errBarType val="both"/>
            <c:errValType val="cust"/>
            <c:noEndCap val="0"/>
            <c:plus>
              <c:numRef>
                <c:f>'PLA-Diagram'!$F$21:$F$24</c:f>
                <c:numCache>
                  <c:formatCode>General</c:formatCode>
                  <c:ptCount val="4"/>
                  <c:pt idx="0">
                    <c:v>5.2199999999999608E-3</c:v>
                  </c:pt>
                  <c:pt idx="1">
                    <c:v>4.8199999999999146E-3</c:v>
                  </c:pt>
                  <c:pt idx="2">
                    <c:v>5.5999999999999869E-2</c:v>
                  </c:pt>
                  <c:pt idx="3">
                    <c:v>9.6000000000007191E-4</c:v>
                  </c:pt>
                </c:numCache>
              </c:numRef>
            </c:plus>
            <c:minus>
              <c:numRef>
                <c:f>'PLA-Diagram'!$G$21:$G$24</c:f>
                <c:numCache>
                  <c:formatCode>General</c:formatCode>
                  <c:ptCount val="4"/>
                  <c:pt idx="0">
                    <c:v>4.0200000000000929E-3</c:v>
                  </c:pt>
                  <c:pt idx="1">
                    <c:v>1.11800000000001E-2</c:v>
                  </c:pt>
                  <c:pt idx="2">
                    <c:v>1.1799999999999852E-2</c:v>
                  </c:pt>
                  <c:pt idx="3">
                    <c:v>1.3400000000001189E-3</c:v>
                  </c:pt>
                </c:numCache>
              </c:numRef>
            </c:minus>
            <c:spPr>
              <a:noFill/>
              <a:ln w="9525" cap="flat" cmpd="sng" algn="ctr">
                <a:solidFill>
                  <a:schemeClr val="tx1">
                    <a:lumMod val="65000"/>
                    <a:lumOff val="35000"/>
                  </a:schemeClr>
                </a:solidFill>
                <a:round/>
              </a:ln>
              <a:effectLst/>
            </c:spPr>
          </c:errBars>
          <c:cat>
            <c:numRef>
              <c:f>'PLA-Diagram'!$A$11:$A$14</c:f>
              <c:numCache>
                <c:formatCode>General</c:formatCode>
                <c:ptCount val="4"/>
                <c:pt idx="0">
                  <c:v>3</c:v>
                </c:pt>
                <c:pt idx="1">
                  <c:v>6</c:v>
                </c:pt>
                <c:pt idx="2">
                  <c:v>9</c:v>
                </c:pt>
                <c:pt idx="3">
                  <c:v>12</c:v>
                </c:pt>
              </c:numCache>
            </c:numRef>
          </c:cat>
          <c:val>
            <c:numRef>
              <c:f>'PLA-Diagram'!$D$11:$D$14</c:f>
              <c:numCache>
                <c:formatCode>0.0000</c:formatCode>
                <c:ptCount val="4"/>
                <c:pt idx="0">
                  <c:v>3.9280000000000023E-2</c:v>
                </c:pt>
                <c:pt idx="1">
                  <c:v>5.0519999999999989E-2</c:v>
                </c:pt>
                <c:pt idx="2">
                  <c:v>0.1012</c:v>
                </c:pt>
                <c:pt idx="3">
                  <c:v>6.0740000000000002E-2</c:v>
                </c:pt>
              </c:numCache>
            </c:numRef>
          </c:val>
          <c:smooth val="0"/>
          <c:extLst>
            <c:ext xmlns:c16="http://schemas.microsoft.com/office/drawing/2014/chart" uri="{C3380CC4-5D6E-409C-BE32-E72D297353CC}">
              <c16:uniqueId val="{00000003-0526-403F-B380-A0F109B84790}"/>
            </c:ext>
          </c:extLst>
        </c:ser>
        <c:ser>
          <c:idx val="4"/>
          <c:order val="3"/>
          <c:tx>
            <c:strRef>
              <c:f>'PLA-Diagram'!$E$10</c:f>
              <c:strCache>
                <c:ptCount val="1"/>
                <c:pt idx="0">
                  <c:v>40°C Våt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errBars>
            <c:errDir val="y"/>
            <c:errBarType val="both"/>
            <c:errValType val="cust"/>
            <c:noEndCap val="0"/>
            <c:plus>
              <c:numRef>
                <c:f>'PLA-Diagram'!$H$21:$H$24</c:f>
                <c:numCache>
                  <c:formatCode>General</c:formatCode>
                  <c:ptCount val="4"/>
                  <c:pt idx="0">
                    <c:v>1.900000000000103E-3</c:v>
                  </c:pt>
                  <c:pt idx="1">
                    <c:v>1.8279999999999942E-2</c:v>
                  </c:pt>
                  <c:pt idx="2">
                    <c:v>2.5799999999999434E-3</c:v>
                  </c:pt>
                  <c:pt idx="3">
                    <c:v>4.9800000000000746E-3</c:v>
                  </c:pt>
                </c:numCache>
              </c:numRef>
            </c:plus>
            <c:minus>
              <c:numRef>
                <c:f>'PLA-Diagram'!$I$21:$I$24</c:f>
                <c:numCache>
                  <c:formatCode>General</c:formatCode>
                  <c:ptCount val="4"/>
                  <c:pt idx="0">
                    <c:v>8.1000000000001279E-3</c:v>
                  </c:pt>
                  <c:pt idx="1">
                    <c:v>2.8800000000000839E-3</c:v>
                  </c:pt>
                  <c:pt idx="2">
                    <c:v>1.3380000000000086E-2</c:v>
                  </c:pt>
                  <c:pt idx="3">
                    <c:v>1.212000000000004E-2</c:v>
                  </c:pt>
                </c:numCache>
              </c:numRef>
            </c:minus>
            <c:spPr>
              <a:noFill/>
              <a:ln w="9525" cap="flat" cmpd="sng" algn="ctr">
                <a:solidFill>
                  <a:schemeClr val="tx1">
                    <a:lumMod val="65000"/>
                    <a:lumOff val="35000"/>
                  </a:schemeClr>
                </a:solidFill>
                <a:round/>
              </a:ln>
              <a:effectLst/>
            </c:spPr>
          </c:errBars>
          <c:cat>
            <c:numRef>
              <c:f>'PLA-Diagram'!$A$11:$A$14</c:f>
              <c:numCache>
                <c:formatCode>General</c:formatCode>
                <c:ptCount val="4"/>
                <c:pt idx="0">
                  <c:v>3</c:v>
                </c:pt>
                <c:pt idx="1">
                  <c:v>6</c:v>
                </c:pt>
                <c:pt idx="2">
                  <c:v>9</c:v>
                </c:pt>
                <c:pt idx="3">
                  <c:v>12</c:v>
                </c:pt>
              </c:numCache>
            </c:numRef>
          </c:cat>
          <c:val>
            <c:numRef>
              <c:f>'PLA-Diagram'!$E$11:$E$14</c:f>
              <c:numCache>
                <c:formatCode>0.0000</c:formatCode>
                <c:ptCount val="4"/>
                <c:pt idx="0">
                  <c:v>4.1200000000000035E-2</c:v>
                </c:pt>
                <c:pt idx="1">
                  <c:v>5.2520000000000032E-2</c:v>
                </c:pt>
                <c:pt idx="2">
                  <c:v>6.6879999999999967E-2</c:v>
                </c:pt>
                <c:pt idx="3">
                  <c:v>6.1119999999999973E-2</c:v>
                </c:pt>
              </c:numCache>
            </c:numRef>
          </c:val>
          <c:smooth val="0"/>
          <c:extLst>
            <c:ext xmlns:c16="http://schemas.microsoft.com/office/drawing/2014/chart" uri="{C3380CC4-5D6E-409C-BE32-E72D297353CC}">
              <c16:uniqueId val="{00000004-0526-403F-B380-A0F109B84790}"/>
            </c:ext>
          </c:extLst>
        </c:ser>
        <c:ser>
          <c:idx val="5"/>
          <c:order val="4"/>
          <c:tx>
            <c:strRef>
              <c:f>'PLA-Diagram'!$F$10</c:f>
              <c:strCache>
                <c:ptCount val="1"/>
                <c:pt idx="0">
                  <c:v>60°C Tørr</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errBars>
            <c:errDir val="y"/>
            <c:errBarType val="both"/>
            <c:errValType val="cust"/>
            <c:noEndCap val="0"/>
            <c:plus>
              <c:numRef>
                <c:f>'PLA-Diagram'!$J$21:$J$24</c:f>
                <c:numCache>
                  <c:formatCode>General</c:formatCode>
                  <c:ptCount val="4"/>
                  <c:pt idx="0">
                    <c:v>2.9999999999992533E-4</c:v>
                  </c:pt>
                  <c:pt idx="1">
                    <c:v>4.3199999999999628E-3</c:v>
                  </c:pt>
                  <c:pt idx="2">
                    <c:v>#N/A</c:v>
                  </c:pt>
                  <c:pt idx="3">
                    <c:v>1.3919999999999974E-2</c:v>
                  </c:pt>
                </c:numCache>
              </c:numRef>
            </c:plus>
            <c:minus>
              <c:numRef>
                <c:f>'PLA-Diagram'!$K$21:$K$24</c:f>
                <c:numCache>
                  <c:formatCode>General</c:formatCode>
                  <c:ptCount val="4"/>
                  <c:pt idx="0">
                    <c:v>1.2000000000001315E-3</c:v>
                  </c:pt>
                  <c:pt idx="1">
                    <c:v>2.6799999999999324E-3</c:v>
                  </c:pt>
                  <c:pt idx="2">
                    <c:v>#N/A</c:v>
                  </c:pt>
                  <c:pt idx="3">
                    <c:v>5.7800000000000767E-3</c:v>
                  </c:pt>
                </c:numCache>
              </c:numRef>
            </c:minus>
            <c:spPr>
              <a:noFill/>
              <a:ln w="9525" cap="flat" cmpd="sng" algn="ctr">
                <a:solidFill>
                  <a:schemeClr val="tx1">
                    <a:lumMod val="65000"/>
                    <a:lumOff val="35000"/>
                  </a:schemeClr>
                </a:solidFill>
                <a:round/>
              </a:ln>
              <a:effectLst/>
            </c:spPr>
          </c:errBars>
          <c:cat>
            <c:numRef>
              <c:f>'PLA-Diagram'!$A$11:$A$14</c:f>
              <c:numCache>
                <c:formatCode>General</c:formatCode>
                <c:ptCount val="4"/>
                <c:pt idx="0">
                  <c:v>3</c:v>
                </c:pt>
                <c:pt idx="1">
                  <c:v>6</c:v>
                </c:pt>
                <c:pt idx="2">
                  <c:v>9</c:v>
                </c:pt>
                <c:pt idx="3">
                  <c:v>12</c:v>
                </c:pt>
              </c:numCache>
            </c:numRef>
          </c:cat>
          <c:val>
            <c:numRef>
              <c:f>'PLA-Diagram'!$F$11:$F$14</c:f>
              <c:numCache>
                <c:formatCode>0.0000</c:formatCode>
                <c:ptCount val="4"/>
                <c:pt idx="0">
                  <c:v>6.1700000000000046E-2</c:v>
                </c:pt>
                <c:pt idx="1">
                  <c:v>6.8719999999999976E-2</c:v>
                </c:pt>
                <c:pt idx="2" formatCode="General">
                  <c:v>#N/A</c:v>
                </c:pt>
                <c:pt idx="3">
                  <c:v>-5.0979999999999984E-2</c:v>
                </c:pt>
              </c:numCache>
            </c:numRef>
          </c:val>
          <c:smooth val="0"/>
          <c:extLst>
            <c:ext xmlns:c16="http://schemas.microsoft.com/office/drawing/2014/chart" uri="{C3380CC4-5D6E-409C-BE32-E72D297353CC}">
              <c16:uniqueId val="{00000005-0526-403F-B380-A0F109B84790}"/>
            </c:ext>
          </c:extLst>
        </c:ser>
        <c:ser>
          <c:idx val="6"/>
          <c:order val="5"/>
          <c:tx>
            <c:strRef>
              <c:f>'PLA-Diagram'!$G$10</c:f>
              <c:strCache>
                <c:ptCount val="1"/>
                <c:pt idx="0">
                  <c:v>60°C Våt</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errBars>
            <c:errDir val="y"/>
            <c:errBarType val="both"/>
            <c:errValType val="cust"/>
            <c:noEndCap val="0"/>
            <c:plus>
              <c:numRef>
                <c:f>'PLA-Diagram'!$L$21:$L$24</c:f>
                <c:numCache>
                  <c:formatCode>General</c:formatCode>
                  <c:ptCount val="4"/>
                  <c:pt idx="0">
                    <c:v>1.2800000000000381E-3</c:v>
                  </c:pt>
                  <c:pt idx="1">
                    <c:v>3.9999999999999203E-3</c:v>
                  </c:pt>
                  <c:pt idx="2">
                    <c:v>#N/A</c:v>
                  </c:pt>
                  <c:pt idx="3">
                    <c:v>1.460000000000107E-3</c:v>
                  </c:pt>
                </c:numCache>
              </c:numRef>
            </c:plus>
            <c:minus>
              <c:numRef>
                <c:f>'PLA-Diagram'!$M$21:$M$24</c:f>
                <c:numCache>
                  <c:formatCode>General</c:formatCode>
                  <c:ptCount val="4"/>
                  <c:pt idx="0">
                    <c:v>1.0819999999999962E-2</c:v>
                  </c:pt>
                  <c:pt idx="1">
                    <c:v>2.9000000000000414E-3</c:v>
                  </c:pt>
                  <c:pt idx="2">
                    <c:v>#N/A</c:v>
                  </c:pt>
                  <c:pt idx="3">
                    <c:v>9.5999999999994007E-4</c:v>
                  </c:pt>
                </c:numCache>
              </c:numRef>
            </c:minus>
            <c:spPr>
              <a:noFill/>
              <a:ln w="9525" cap="flat" cmpd="sng" algn="ctr">
                <a:solidFill>
                  <a:schemeClr val="tx1">
                    <a:lumMod val="65000"/>
                    <a:lumOff val="35000"/>
                  </a:schemeClr>
                </a:solidFill>
                <a:round/>
              </a:ln>
              <a:effectLst/>
            </c:spPr>
          </c:errBars>
          <c:cat>
            <c:numRef>
              <c:f>'PLA-Diagram'!$A$11:$A$14</c:f>
              <c:numCache>
                <c:formatCode>General</c:formatCode>
                <c:ptCount val="4"/>
                <c:pt idx="0">
                  <c:v>3</c:v>
                </c:pt>
                <c:pt idx="1">
                  <c:v>6</c:v>
                </c:pt>
                <c:pt idx="2">
                  <c:v>9</c:v>
                </c:pt>
                <c:pt idx="3">
                  <c:v>12</c:v>
                </c:pt>
              </c:numCache>
            </c:numRef>
          </c:cat>
          <c:val>
            <c:numRef>
              <c:f>'PLA-Diagram'!$G$11:$G$14</c:f>
              <c:numCache>
                <c:formatCode>0.0000</c:formatCode>
                <c:ptCount val="4"/>
                <c:pt idx="0">
                  <c:v>5.2819999999999999E-2</c:v>
                </c:pt>
                <c:pt idx="1">
                  <c:v>6.7799999999999999E-2</c:v>
                </c:pt>
                <c:pt idx="2">
                  <c:v>#N/A</c:v>
                </c:pt>
                <c:pt idx="3">
                  <c:v>-4.7459999999999926E-2</c:v>
                </c:pt>
              </c:numCache>
            </c:numRef>
          </c:val>
          <c:smooth val="0"/>
          <c:extLst>
            <c:ext xmlns:c16="http://schemas.microsoft.com/office/drawing/2014/chart" uri="{C3380CC4-5D6E-409C-BE32-E72D297353CC}">
              <c16:uniqueId val="{00000006-0526-403F-B380-A0F109B84790}"/>
            </c:ext>
          </c:extLst>
        </c:ser>
        <c:dLbls>
          <c:showLegendKey val="0"/>
          <c:showVal val="0"/>
          <c:showCatName val="0"/>
          <c:showSerName val="0"/>
          <c:showPercent val="0"/>
          <c:showBubbleSize val="0"/>
        </c:dLbls>
        <c:marker val="1"/>
        <c:smooth val="0"/>
        <c:axId val="868131584"/>
        <c:axId val="1819554832"/>
      </c:lineChart>
      <c:catAx>
        <c:axId val="868131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19554832"/>
        <c:crosses val="autoZero"/>
        <c:auto val="1"/>
        <c:lblAlgn val="ctr"/>
        <c:lblOffset val="100"/>
        <c:noMultiLvlLbl val="0"/>
      </c:catAx>
      <c:valAx>
        <c:axId val="1819554832"/>
        <c:scaling>
          <c:orientation val="minMax"/>
          <c:max val="0.18000000000000002"/>
          <c:min val="-8.0000000000000016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Vekt (g)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868131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400" b="0" i="0" u="none" strike="noStrike" kern="1200" spc="0" baseline="0">
                <a:solidFill>
                  <a:sysClr val="windowText" lastClr="000000">
                    <a:lumMod val="65000"/>
                    <a:lumOff val="35000"/>
                  </a:sysClr>
                </a:solidFill>
              </a:rPr>
              <a:t>Gjennomsnittlig permanent vektendring for PLA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manualLayout>
          <c:layoutTarget val="inner"/>
          <c:xMode val="edge"/>
          <c:yMode val="edge"/>
          <c:x val="8.2596720644168273E-2"/>
          <c:y val="9.3249528598365813E-2"/>
          <c:w val="0.90318680116520167"/>
          <c:h val="0.78335598370756765"/>
        </c:manualLayout>
      </c:layout>
      <c:barChart>
        <c:barDir val="col"/>
        <c:grouping val="clustered"/>
        <c:varyColors val="0"/>
        <c:ser>
          <c:idx val="1"/>
          <c:order val="0"/>
          <c:tx>
            <c:strRef>
              <c:f>'PLA-Diagram'!$B$60</c:f>
              <c:strCache>
                <c:ptCount val="1"/>
                <c:pt idx="0">
                  <c:v>20°C Tørr</c:v>
                </c:pt>
              </c:strCache>
            </c:strRef>
          </c:tx>
          <c:spPr>
            <a:solidFill>
              <a:schemeClr val="accent2"/>
            </a:solidFill>
            <a:ln>
              <a:noFill/>
            </a:ln>
            <a:effectLst/>
          </c:spPr>
          <c:invertIfNegative val="0"/>
          <c:errBars>
            <c:errBarType val="both"/>
            <c:errValType val="cust"/>
            <c:noEndCap val="0"/>
            <c:plus>
              <c:numRef>
                <c:f>'PLA-Diagram'!$B$71:$B$74</c:f>
                <c:numCache>
                  <c:formatCode>General</c:formatCode>
                  <c:ptCount val="4"/>
                  <c:pt idx="0">
                    <c:v>3.0399999999999906E-3</c:v>
                  </c:pt>
                  <c:pt idx="1">
                    <c:v>1.2999999999999947E-3</c:v>
                  </c:pt>
                  <c:pt idx="2">
                    <c:v>7.000000000000001E-4</c:v>
                  </c:pt>
                  <c:pt idx="3">
                    <c:v>4.3E-3</c:v>
                  </c:pt>
                </c:numCache>
              </c:numRef>
            </c:plus>
            <c:minus>
              <c:numRef>
                <c:f>'PLA-Diagram'!$C$71:$C$74</c:f>
                <c:numCache>
                  <c:formatCode>General</c:formatCode>
                  <c:ptCount val="4"/>
                  <c:pt idx="0">
                    <c:v>1.960000000000009E-3</c:v>
                  </c:pt>
                  <c:pt idx="1">
                    <c:v>1.8000000000000056E-3</c:v>
                  </c:pt>
                  <c:pt idx="2">
                    <c:v>1E-3</c:v>
                  </c:pt>
                  <c:pt idx="3">
                    <c:v>1.7000000000000001E-3</c:v>
                  </c:pt>
                </c:numCache>
              </c:numRef>
            </c:minus>
            <c:spPr>
              <a:noFill/>
              <a:ln w="9525" cap="flat" cmpd="sng" algn="ctr">
                <a:solidFill>
                  <a:schemeClr val="tx1">
                    <a:lumMod val="65000"/>
                    <a:lumOff val="35000"/>
                  </a:schemeClr>
                </a:solidFill>
                <a:round/>
              </a:ln>
              <a:effectLst/>
            </c:spPr>
          </c:errBars>
          <c:cat>
            <c:numRef>
              <c:f>'PLA-Diagram'!$A$61:$A$64</c:f>
              <c:numCache>
                <c:formatCode>General</c:formatCode>
                <c:ptCount val="4"/>
                <c:pt idx="0">
                  <c:v>3</c:v>
                </c:pt>
                <c:pt idx="1">
                  <c:v>6</c:v>
                </c:pt>
                <c:pt idx="2">
                  <c:v>9</c:v>
                </c:pt>
                <c:pt idx="3">
                  <c:v>12</c:v>
                </c:pt>
              </c:numCache>
            </c:numRef>
          </c:cat>
          <c:val>
            <c:numRef>
              <c:f>'PLA-Diagram'!$B$61:$B$64</c:f>
              <c:numCache>
                <c:formatCode>0.0000</c:formatCode>
                <c:ptCount val="4"/>
                <c:pt idx="0">
                  <c:v>4.760000000000009E-3</c:v>
                </c:pt>
                <c:pt idx="1">
                  <c:v>6.0000000000000053E-3</c:v>
                </c:pt>
                <c:pt idx="2">
                  <c:v>5.5999999999999999E-3</c:v>
                </c:pt>
                <c:pt idx="3">
                  <c:v>9.4999999999999998E-3</c:v>
                </c:pt>
              </c:numCache>
            </c:numRef>
          </c:val>
          <c:extLst>
            <c:ext xmlns:c16="http://schemas.microsoft.com/office/drawing/2014/chart" uri="{C3380CC4-5D6E-409C-BE32-E72D297353CC}">
              <c16:uniqueId val="{00000001-CD55-48F2-BE29-60FAD9D64614}"/>
            </c:ext>
          </c:extLst>
        </c:ser>
        <c:ser>
          <c:idx val="2"/>
          <c:order val="1"/>
          <c:tx>
            <c:strRef>
              <c:f>'PLA-Diagram'!$C$60</c:f>
              <c:strCache>
                <c:ptCount val="1"/>
                <c:pt idx="0">
                  <c:v>40°C Tørr</c:v>
                </c:pt>
              </c:strCache>
            </c:strRef>
          </c:tx>
          <c:spPr>
            <a:solidFill>
              <a:schemeClr val="accent3"/>
            </a:solidFill>
            <a:ln>
              <a:noFill/>
            </a:ln>
            <a:effectLst/>
          </c:spPr>
          <c:invertIfNegative val="0"/>
          <c:errBars>
            <c:errBarType val="both"/>
            <c:errValType val="cust"/>
            <c:noEndCap val="0"/>
            <c:plus>
              <c:numRef>
                <c:f>'PLA-Diagram'!$D$71:$D$74</c:f>
                <c:numCache>
                  <c:formatCode>General</c:formatCode>
                  <c:ptCount val="4"/>
                  <c:pt idx="0">
                    <c:v>3.4000000000000002E-3</c:v>
                  </c:pt>
                  <c:pt idx="1">
                    <c:v>3.2000000000000006E-3</c:v>
                  </c:pt>
                  <c:pt idx="2">
                    <c:v>2.9999999999999992E-3</c:v>
                  </c:pt>
                  <c:pt idx="3">
                    <c:v>1.6000000000000007E-3</c:v>
                  </c:pt>
                </c:numCache>
              </c:numRef>
            </c:plus>
            <c:minus>
              <c:numRef>
                <c:f>'PLA-Diagram'!$E$71:$E$74</c:f>
                <c:numCache>
                  <c:formatCode>General</c:formatCode>
                  <c:ptCount val="4"/>
                  <c:pt idx="0">
                    <c:v>1.9000000000000006E-3</c:v>
                  </c:pt>
                  <c:pt idx="1">
                    <c:v>2.4000000000000002E-3</c:v>
                  </c:pt>
                  <c:pt idx="2">
                    <c:v>4.1000000000000003E-3</c:v>
                  </c:pt>
                  <c:pt idx="3">
                    <c:v>6.9999999999999923E-4</c:v>
                  </c:pt>
                </c:numCache>
              </c:numRef>
            </c:minus>
            <c:spPr>
              <a:noFill/>
              <a:ln w="9525" cap="flat" cmpd="sng" algn="ctr">
                <a:solidFill>
                  <a:schemeClr val="tx1"/>
                </a:solidFill>
                <a:round/>
              </a:ln>
              <a:effectLst>
                <a:glow rad="50800">
                  <a:schemeClr val="bg1">
                    <a:alpha val="23000"/>
                  </a:schemeClr>
                </a:glow>
                <a:outerShdw blurRad="63500" dist="38100" dir="5400000" algn="t" rotWithShape="0">
                  <a:schemeClr val="bg1">
                    <a:alpha val="40000"/>
                  </a:schemeClr>
                </a:outerShdw>
              </a:effectLst>
            </c:spPr>
          </c:errBars>
          <c:cat>
            <c:numRef>
              <c:f>'PLA-Diagram'!$A$61:$A$64</c:f>
              <c:numCache>
                <c:formatCode>General</c:formatCode>
                <c:ptCount val="4"/>
                <c:pt idx="0">
                  <c:v>3</c:v>
                </c:pt>
                <c:pt idx="1">
                  <c:v>6</c:v>
                </c:pt>
                <c:pt idx="2">
                  <c:v>9</c:v>
                </c:pt>
                <c:pt idx="3">
                  <c:v>12</c:v>
                </c:pt>
              </c:numCache>
            </c:numRef>
          </c:cat>
          <c:val>
            <c:numRef>
              <c:f>'PLA-Diagram'!$C$61:$C$64</c:f>
              <c:numCache>
                <c:formatCode>0.0000</c:formatCode>
                <c:ptCount val="4"/>
                <c:pt idx="0">
                  <c:v>8.8000000000000005E-3</c:v>
                </c:pt>
                <c:pt idx="1">
                  <c:v>7.0000000000000001E-3</c:v>
                </c:pt>
                <c:pt idx="2">
                  <c:v>8.5000000000000006E-3</c:v>
                </c:pt>
                <c:pt idx="3">
                  <c:v>9.4999999999999998E-3</c:v>
                </c:pt>
              </c:numCache>
            </c:numRef>
          </c:val>
          <c:extLst>
            <c:ext xmlns:c16="http://schemas.microsoft.com/office/drawing/2014/chart" uri="{C3380CC4-5D6E-409C-BE32-E72D297353CC}">
              <c16:uniqueId val="{00000002-CD55-48F2-BE29-60FAD9D64614}"/>
            </c:ext>
          </c:extLst>
        </c:ser>
        <c:ser>
          <c:idx val="3"/>
          <c:order val="2"/>
          <c:tx>
            <c:strRef>
              <c:f>'PLA-Diagram'!$D$60</c:f>
              <c:strCache>
                <c:ptCount val="1"/>
                <c:pt idx="0">
                  <c:v>60°C Tørr</c:v>
                </c:pt>
              </c:strCache>
            </c:strRef>
          </c:tx>
          <c:spPr>
            <a:solidFill>
              <a:schemeClr val="accent4"/>
            </a:solidFill>
            <a:ln>
              <a:noFill/>
            </a:ln>
            <a:effectLst/>
          </c:spPr>
          <c:invertIfNegative val="0"/>
          <c:errBars>
            <c:errBarType val="both"/>
            <c:errValType val="cust"/>
            <c:noEndCap val="0"/>
            <c:plus>
              <c:numRef>
                <c:f>'PLA-Diagram'!$F$71:$F$74</c:f>
                <c:numCache>
                  <c:formatCode>General</c:formatCode>
                  <c:ptCount val="4"/>
                  <c:pt idx="0">
                    <c:v>3.7000000000000002E-3</c:v>
                  </c:pt>
                  <c:pt idx="1">
                    <c:v>2.0999999999999991E-2</c:v>
                  </c:pt>
                  <c:pt idx="2">
                    <c:v>#N/A</c:v>
                  </c:pt>
                  <c:pt idx="3">
                    <c:v>1.519999999999988E-2</c:v>
                  </c:pt>
                </c:numCache>
              </c:numRef>
            </c:plus>
            <c:minus>
              <c:numRef>
                <c:f>'PLA-Diagram'!$G$74</c:f>
                <c:numCache>
                  <c:formatCode>General</c:formatCode>
                  <c:ptCount val="1"/>
                  <c:pt idx="0">
                    <c:v>0</c:v>
                  </c:pt>
                </c:numCache>
              </c:numRef>
            </c:minus>
            <c:spPr>
              <a:noFill/>
              <a:ln w="9525" cap="flat" cmpd="sng" algn="ctr">
                <a:solidFill>
                  <a:schemeClr val="tx1">
                    <a:lumMod val="65000"/>
                    <a:lumOff val="35000"/>
                  </a:schemeClr>
                </a:solidFill>
                <a:round/>
              </a:ln>
              <a:effectLst/>
            </c:spPr>
          </c:errBars>
          <c:cat>
            <c:numRef>
              <c:f>'PLA-Diagram'!$A$61:$A$64</c:f>
              <c:numCache>
                <c:formatCode>General</c:formatCode>
                <c:ptCount val="4"/>
                <c:pt idx="0">
                  <c:v>3</c:v>
                </c:pt>
                <c:pt idx="1">
                  <c:v>6</c:v>
                </c:pt>
                <c:pt idx="2">
                  <c:v>9</c:v>
                </c:pt>
                <c:pt idx="3">
                  <c:v>12</c:v>
                </c:pt>
              </c:numCache>
            </c:numRef>
          </c:cat>
          <c:val>
            <c:numRef>
              <c:f>'PLA-Diagram'!$D$61:$D$64</c:f>
              <c:numCache>
                <c:formatCode>0.0000</c:formatCode>
                <c:ptCount val="4"/>
                <c:pt idx="0">
                  <c:v>1.3599999999999999E-2</c:v>
                </c:pt>
                <c:pt idx="1">
                  <c:v>-0.1084</c:v>
                </c:pt>
                <c:pt idx="2">
                  <c:v>#N/A</c:v>
                </c:pt>
                <c:pt idx="3">
                  <c:v>-0.29039999999999999</c:v>
                </c:pt>
              </c:numCache>
            </c:numRef>
          </c:val>
          <c:extLst>
            <c:ext xmlns:c16="http://schemas.microsoft.com/office/drawing/2014/chart" uri="{C3380CC4-5D6E-409C-BE32-E72D297353CC}">
              <c16:uniqueId val="{00000003-CD55-48F2-BE29-60FAD9D64614}"/>
            </c:ext>
          </c:extLst>
        </c:ser>
        <c:dLbls>
          <c:showLegendKey val="0"/>
          <c:showVal val="0"/>
          <c:showCatName val="0"/>
          <c:showSerName val="0"/>
          <c:showPercent val="0"/>
          <c:showBubbleSize val="0"/>
        </c:dLbls>
        <c:gapWidth val="219"/>
        <c:overlap val="-27"/>
        <c:axId val="153164895"/>
        <c:axId val="153149535"/>
      </c:barChart>
      <c:catAx>
        <c:axId val="1531648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53149535"/>
        <c:crosses val="autoZero"/>
        <c:auto val="1"/>
        <c:lblAlgn val="ctr"/>
        <c:lblOffset val="100"/>
        <c:noMultiLvlLbl val="0"/>
      </c:catAx>
      <c:valAx>
        <c:axId val="153149535"/>
        <c:scaling>
          <c:orientation val="minMax"/>
          <c:min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Vekt (g)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53164895"/>
        <c:crosses val="autoZero"/>
        <c:crossBetween val="between"/>
      </c:valAx>
      <c:spPr>
        <a:noFill/>
        <a:ln>
          <a:noFill/>
        </a:ln>
        <a:effectLst>
          <a:glow rad="50800">
            <a:schemeClr val="accent1">
              <a:alpha val="40000"/>
            </a:schemeClr>
          </a:glo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400" b="0" i="0" u="none" strike="noStrike" kern="1200" spc="0" baseline="0">
                <a:solidFill>
                  <a:sysClr val="windowText" lastClr="000000">
                    <a:lumMod val="65000"/>
                    <a:lumOff val="35000"/>
                  </a:sysClr>
                </a:solidFill>
              </a:rPr>
              <a:t>Andel av vektopptak som ble værende etter tørking for PLA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1"/>
          <c:order val="1"/>
          <c:tx>
            <c:strRef>
              <c:f>'PLA - Prosent'!$B$21</c:f>
              <c:strCache>
                <c:ptCount val="1"/>
                <c:pt idx="0">
                  <c:v> 20°C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'PLA - Prosent'!$A$22:$A$25</c:f>
              <c:numCache>
                <c:formatCode>General</c:formatCode>
                <c:ptCount val="4"/>
                <c:pt idx="0">
                  <c:v>3</c:v>
                </c:pt>
                <c:pt idx="1">
                  <c:v>6</c:v>
                </c:pt>
                <c:pt idx="2">
                  <c:v>9</c:v>
                </c:pt>
                <c:pt idx="3">
                  <c:v>12</c:v>
                </c:pt>
              </c:numCache>
            </c:numRef>
          </c:cat>
          <c:val>
            <c:numRef>
              <c:f>'PLA - Prosent'!$B$22:$B$25</c:f>
              <c:numCache>
                <c:formatCode>0.00%</c:formatCode>
                <c:ptCount val="4"/>
                <c:pt idx="0">
                  <c:v>0.16326530612244897</c:v>
                </c:pt>
                <c:pt idx="1">
                  <c:v>0.15306122448979592</c:v>
                </c:pt>
                <c:pt idx="2">
                  <c:v>0.11666666666666667</c:v>
                </c:pt>
                <c:pt idx="3">
                  <c:v>0.15833333333333333</c:v>
                </c:pt>
              </c:numCache>
            </c:numRef>
          </c:val>
          <c:smooth val="0"/>
          <c:extLst>
            <c:ext xmlns:c16="http://schemas.microsoft.com/office/drawing/2014/chart" uri="{C3380CC4-5D6E-409C-BE32-E72D297353CC}">
              <c16:uniqueId val="{00000001-9D89-4541-959A-790BCA8725FF}"/>
            </c:ext>
          </c:extLst>
        </c:ser>
        <c:ser>
          <c:idx val="2"/>
          <c:order val="2"/>
          <c:tx>
            <c:strRef>
              <c:f>'PLA - Prosent'!$C$21</c:f>
              <c:strCache>
                <c:ptCount val="1"/>
                <c:pt idx="0">
                  <c:v> 40°C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'PLA - Prosent'!$A$22:$A$25</c:f>
              <c:numCache>
                <c:formatCode>General</c:formatCode>
                <c:ptCount val="4"/>
                <c:pt idx="0">
                  <c:v>3</c:v>
                </c:pt>
                <c:pt idx="1">
                  <c:v>6</c:v>
                </c:pt>
                <c:pt idx="2">
                  <c:v>9</c:v>
                </c:pt>
                <c:pt idx="3">
                  <c:v>12</c:v>
                </c:pt>
              </c:numCache>
            </c:numRef>
          </c:cat>
          <c:val>
            <c:numRef>
              <c:f>'PLA - Prosent'!$C$22:$C$25</c:f>
              <c:numCache>
                <c:formatCode>0.00%</c:formatCode>
                <c:ptCount val="4"/>
                <c:pt idx="0">
                  <c:v>0.22391857506361323</c:v>
                </c:pt>
                <c:pt idx="1">
                  <c:v>0.1386138613861386</c:v>
                </c:pt>
                <c:pt idx="2">
                  <c:v>8.399209486166008E-2</c:v>
                </c:pt>
                <c:pt idx="3">
                  <c:v>0.15650741350906097</c:v>
                </c:pt>
              </c:numCache>
            </c:numRef>
          </c:val>
          <c:smooth val="0"/>
          <c:extLst>
            <c:ext xmlns:c16="http://schemas.microsoft.com/office/drawing/2014/chart" uri="{C3380CC4-5D6E-409C-BE32-E72D297353CC}">
              <c16:uniqueId val="{00000002-9D89-4541-959A-790BCA8725FF}"/>
            </c:ext>
          </c:extLst>
        </c:ser>
        <c:ser>
          <c:idx val="3"/>
          <c:order val="3"/>
          <c:tx>
            <c:strRef>
              <c:f>'PLA - Prosent'!$D$21</c:f>
              <c:strCache>
                <c:ptCount val="1"/>
                <c:pt idx="0">
                  <c:v>60°C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'PLA - Prosent'!$A$22:$A$25</c:f>
              <c:numCache>
                <c:formatCode>General</c:formatCode>
                <c:ptCount val="4"/>
                <c:pt idx="0">
                  <c:v>3</c:v>
                </c:pt>
                <c:pt idx="1">
                  <c:v>6</c:v>
                </c:pt>
                <c:pt idx="2">
                  <c:v>9</c:v>
                </c:pt>
                <c:pt idx="3">
                  <c:v>12</c:v>
                </c:pt>
              </c:numCache>
            </c:numRef>
          </c:cat>
          <c:val>
            <c:numRef>
              <c:f>'PLA - Prosent'!$D$22:$D$25</c:f>
              <c:numCache>
                <c:formatCode>0.00%</c:formatCode>
                <c:ptCount val="4"/>
                <c:pt idx="0">
                  <c:v>0.22042139384116693</c:v>
                </c:pt>
                <c:pt idx="1">
                  <c:v>-1.5778748180494906</c:v>
                </c:pt>
                <c:pt idx="2">
                  <c:v>#N/A</c:v>
                </c:pt>
                <c:pt idx="3">
                  <c:v>0</c:v>
                </c:pt>
              </c:numCache>
            </c:numRef>
          </c:val>
          <c:smooth val="0"/>
          <c:extLst>
            <c:ext xmlns:c16="http://schemas.microsoft.com/office/drawing/2014/chart" uri="{C3380CC4-5D6E-409C-BE32-E72D297353CC}">
              <c16:uniqueId val="{00000003-9D89-4541-959A-790BCA8725FF}"/>
            </c:ext>
          </c:extLst>
        </c:ser>
        <c:dLbls>
          <c:showLegendKey val="0"/>
          <c:showVal val="0"/>
          <c:showCatName val="0"/>
          <c:showSerName val="0"/>
          <c:showPercent val="0"/>
          <c:showBubbleSize val="0"/>
        </c:dLbls>
        <c:marker val="1"/>
        <c:smooth val="0"/>
        <c:axId val="1676001488"/>
        <c:axId val="1676003408"/>
        <c:extLst>
          <c:ext xmlns:c15="http://schemas.microsoft.com/office/drawing/2012/chart" uri="{02D57815-91ED-43cb-92C2-25804820EDAC}">
            <c15:filteredLineSeries>
              <c15:ser>
                <c:idx val="0"/>
                <c:order val="0"/>
                <c:tx>
                  <c:strRef>
                    <c:extLst>
                      <c:ext uri="{02D57815-91ED-43cb-92C2-25804820EDAC}">
                        <c15:formulaRef>
                          <c15:sqref>'PLA - Prosent'!$A$21</c15:sqref>
                        </c15:formulaRef>
                      </c:ext>
                    </c:extLst>
                    <c:strCache>
                      <c:ptCount val="1"/>
                      <c:pt idx="0">
                        <c:v>Uke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'PLA - Prosent'!$A$22:$A$25</c15:sqref>
                        </c15:formulaRef>
                      </c:ext>
                    </c:extLst>
                    <c:numCache>
                      <c:formatCode>General</c:formatCode>
                      <c:ptCount val="4"/>
                      <c:pt idx="0">
                        <c:v>3</c:v>
                      </c:pt>
                      <c:pt idx="1">
                        <c:v>6</c:v>
                      </c:pt>
                      <c:pt idx="2">
                        <c:v>9</c:v>
                      </c:pt>
                      <c:pt idx="3">
                        <c:v>12</c:v>
                      </c:pt>
                    </c:numCache>
                  </c:numRef>
                </c:cat>
                <c:val>
                  <c:numRef>
                    <c:extLst>
                      <c:ext uri="{02D57815-91ED-43cb-92C2-25804820EDAC}">
                        <c15:formulaRef>
                          <c15:sqref>'PLA - Prosent'!$A$22:$A$25</c15:sqref>
                        </c15:formulaRef>
                      </c:ext>
                    </c:extLst>
                    <c:numCache>
                      <c:formatCode>General</c:formatCode>
                      <c:ptCount val="4"/>
                      <c:pt idx="0">
                        <c:v>3</c:v>
                      </c:pt>
                      <c:pt idx="1">
                        <c:v>6</c:v>
                      </c:pt>
                      <c:pt idx="2">
                        <c:v>9</c:v>
                      </c:pt>
                      <c:pt idx="3">
                        <c:v>12</c:v>
                      </c:pt>
                    </c:numCache>
                  </c:numRef>
                </c:val>
                <c:smooth val="0"/>
                <c:extLst>
                  <c:ext xmlns:c16="http://schemas.microsoft.com/office/drawing/2014/chart" uri="{C3380CC4-5D6E-409C-BE32-E72D297353CC}">
                    <c16:uniqueId val="{00000000-9D89-4541-959A-790BCA8725FF}"/>
                  </c:ext>
                </c:extLst>
              </c15:ser>
            </c15:filteredLineSeries>
          </c:ext>
        </c:extLst>
      </c:lineChart>
      <c:catAx>
        <c:axId val="1676001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76003408"/>
        <c:crosses val="autoZero"/>
        <c:auto val="1"/>
        <c:lblAlgn val="ctr"/>
        <c:lblOffset val="100"/>
        <c:noMultiLvlLbl val="0"/>
      </c:catAx>
      <c:valAx>
        <c:axId val="1676003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sz="1000" b="0" i="0" u="none" strike="noStrike" kern="1200" baseline="0">
                    <a:solidFill>
                      <a:sysClr val="windowText" lastClr="000000">
                        <a:lumMod val="65000"/>
                        <a:lumOff val="35000"/>
                      </a:sysClr>
                    </a:solidFill>
                  </a:rPr>
                  <a:t>Andel vektopptak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76001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Gjennomsnittlig</a:t>
            </a:r>
            <a:r>
              <a:rPr lang="nb-NO" baseline="0"/>
              <a:t> vektendring over tid for PETG</a:t>
            </a: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0"/>
          <c:order val="0"/>
          <c:tx>
            <c:strRef>
              <c:f>'PETG - Diagrammer'!$B$10</c:f>
              <c:strCache>
                <c:ptCount val="1"/>
                <c:pt idx="0">
                  <c:v>20°C Tørr</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'PETG - Diagrammer'!$B$21:$B$24</c:f>
                <c:numCache>
                  <c:formatCode>General</c:formatCode>
                  <c:ptCount val="4"/>
                  <c:pt idx="0">
                    <c:v>8.0399999999998702E-3</c:v>
                  </c:pt>
                  <c:pt idx="1">
                    <c:v>3.6599999999999515E-3</c:v>
                  </c:pt>
                  <c:pt idx="2">
                    <c:v>2.8900000000000148E-2</c:v>
                  </c:pt>
                  <c:pt idx="3">
                    <c:v>6.5199999999999009E-3</c:v>
                  </c:pt>
                </c:numCache>
              </c:numRef>
            </c:plus>
            <c:minus>
              <c:numRef>
                <c:f>'PETG - Diagrammer'!$C$21:$C$24</c:f>
                <c:numCache>
                  <c:formatCode>General</c:formatCode>
                  <c:ptCount val="4"/>
                  <c:pt idx="0">
                    <c:v>5.1600000000000083E-3</c:v>
                  </c:pt>
                  <c:pt idx="1">
                    <c:v>2.9399999999999878E-3</c:v>
                  </c:pt>
                  <c:pt idx="2">
                    <c:v>0</c:v>
                  </c:pt>
                  <c:pt idx="3">
                    <c:v>8.1800000000000345E-3</c:v>
                  </c:pt>
                </c:numCache>
              </c:numRef>
            </c:minus>
            <c:spPr>
              <a:noFill/>
              <a:ln w="9525" cap="flat" cmpd="sng" algn="ctr">
                <a:solidFill>
                  <a:schemeClr val="tx1">
                    <a:lumMod val="65000"/>
                    <a:lumOff val="35000"/>
                  </a:schemeClr>
                </a:solidFill>
                <a:round/>
              </a:ln>
              <a:effectLst/>
            </c:spPr>
          </c:errBars>
          <c:cat>
            <c:numRef>
              <c:f>'PETG - Diagrammer'!$A$11:$A$14</c:f>
              <c:numCache>
                <c:formatCode>General</c:formatCode>
                <c:ptCount val="4"/>
                <c:pt idx="0">
                  <c:v>3</c:v>
                </c:pt>
                <c:pt idx="1">
                  <c:v>6</c:v>
                </c:pt>
                <c:pt idx="2">
                  <c:v>9</c:v>
                </c:pt>
                <c:pt idx="3">
                  <c:v>12</c:v>
                </c:pt>
              </c:numCache>
            </c:numRef>
          </c:cat>
          <c:val>
            <c:numRef>
              <c:f>'PETG - Diagrammer'!$B$11:$B$14</c:f>
              <c:numCache>
                <c:formatCode>0.0000</c:formatCode>
                <c:ptCount val="4"/>
                <c:pt idx="0">
                  <c:v>2.41E-2</c:v>
                </c:pt>
                <c:pt idx="1">
                  <c:v>2.5000000000000001E-2</c:v>
                </c:pt>
                <c:pt idx="2">
                  <c:v>2.64E-2</c:v>
                </c:pt>
                <c:pt idx="3">
                  <c:v>3.6999999999999998E-2</c:v>
                </c:pt>
              </c:numCache>
            </c:numRef>
          </c:val>
          <c:smooth val="0"/>
          <c:extLst>
            <c:ext xmlns:c16="http://schemas.microsoft.com/office/drawing/2014/chart" uri="{C3380CC4-5D6E-409C-BE32-E72D297353CC}">
              <c16:uniqueId val="{00000000-5167-4261-9C6F-B607EB964C05}"/>
            </c:ext>
          </c:extLst>
        </c:ser>
        <c:ser>
          <c:idx val="1"/>
          <c:order val="1"/>
          <c:tx>
            <c:strRef>
              <c:f>'PETG - Diagrammer'!$C$10</c:f>
              <c:strCache>
                <c:ptCount val="1"/>
                <c:pt idx="0">
                  <c:v>20°C Våt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'PETG - Diagrammer'!$D$21:$D$24</c:f>
                <c:numCache>
                  <c:formatCode>General</c:formatCode>
                  <c:ptCount val="4"/>
                  <c:pt idx="0">
                    <c:v>2.8000000000000455E-3</c:v>
                  </c:pt>
                  <c:pt idx="1">
                    <c:v>2.5399999999999867E-3</c:v>
                  </c:pt>
                  <c:pt idx="2">
                    <c:v>1.7619999999999969E-2</c:v>
                  </c:pt>
                  <c:pt idx="3">
                    <c:v>4.7800000000000481E-3</c:v>
                  </c:pt>
                </c:numCache>
              </c:numRef>
            </c:plus>
            <c:minus>
              <c:numRef>
                <c:f>'PETG - Diagrammer'!$E$21:$E$24</c:f>
                <c:numCache>
                  <c:formatCode>General</c:formatCode>
                  <c:ptCount val="4"/>
                  <c:pt idx="0">
                    <c:v>2.6000000000000259E-3</c:v>
                  </c:pt>
                  <c:pt idx="1">
                    <c:v>1.5600000000000058E-3</c:v>
                  </c:pt>
                  <c:pt idx="2">
                    <c:v>7.5799999999999201E-3</c:v>
                  </c:pt>
                  <c:pt idx="3">
                    <c:v>4.3199999999998379E-3</c:v>
                  </c:pt>
                </c:numCache>
              </c:numRef>
            </c:minus>
            <c:spPr>
              <a:noFill/>
              <a:ln w="9525" cap="flat" cmpd="sng" algn="ctr">
                <a:solidFill>
                  <a:schemeClr val="tx1">
                    <a:lumMod val="65000"/>
                    <a:lumOff val="35000"/>
                  </a:schemeClr>
                </a:solidFill>
                <a:round/>
              </a:ln>
              <a:effectLst/>
            </c:spPr>
          </c:errBars>
          <c:cat>
            <c:numRef>
              <c:f>'PETG - Diagrammer'!$A$11:$A$14</c:f>
              <c:numCache>
                <c:formatCode>General</c:formatCode>
                <c:ptCount val="4"/>
                <c:pt idx="0">
                  <c:v>3</c:v>
                </c:pt>
                <c:pt idx="1">
                  <c:v>6</c:v>
                </c:pt>
                <c:pt idx="2">
                  <c:v>9</c:v>
                </c:pt>
                <c:pt idx="3">
                  <c:v>12</c:v>
                </c:pt>
              </c:numCache>
            </c:numRef>
          </c:cat>
          <c:val>
            <c:numRef>
              <c:f>'PETG - Diagrammer'!$C$11:$C$14</c:f>
              <c:numCache>
                <c:formatCode>0.0000</c:formatCode>
                <c:ptCount val="4"/>
                <c:pt idx="0">
                  <c:v>2.2800000000000001E-2</c:v>
                </c:pt>
                <c:pt idx="1">
                  <c:v>2.1700000000000001E-2</c:v>
                </c:pt>
                <c:pt idx="2">
                  <c:v>3.3399999999999999E-2</c:v>
                </c:pt>
                <c:pt idx="3">
                  <c:v>3.9199999999999999E-2</c:v>
                </c:pt>
              </c:numCache>
            </c:numRef>
          </c:val>
          <c:smooth val="0"/>
          <c:extLst>
            <c:ext xmlns:c16="http://schemas.microsoft.com/office/drawing/2014/chart" uri="{C3380CC4-5D6E-409C-BE32-E72D297353CC}">
              <c16:uniqueId val="{00000001-5167-4261-9C6F-B607EB964C05}"/>
            </c:ext>
          </c:extLst>
        </c:ser>
        <c:ser>
          <c:idx val="2"/>
          <c:order val="2"/>
          <c:tx>
            <c:strRef>
              <c:f>'PETG - Diagrammer'!$D$10</c:f>
              <c:strCache>
                <c:ptCount val="1"/>
                <c:pt idx="0">
                  <c:v>40°C Tørr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y"/>
            <c:errBarType val="both"/>
            <c:errValType val="cust"/>
            <c:noEndCap val="0"/>
            <c:plus>
              <c:numRef>
                <c:f>'PETG - Diagrammer'!$F$21:$F$24</c:f>
                <c:numCache>
                  <c:formatCode>General</c:formatCode>
                  <c:ptCount val="4"/>
                  <c:pt idx="0">
                    <c:v>9.0000000000003272E-4</c:v>
                  </c:pt>
                  <c:pt idx="1">
                    <c:v>3.6199999999998664E-3</c:v>
                  </c:pt>
                  <c:pt idx="2">
                    <c:v>4.2480000000000032E-2</c:v>
                  </c:pt>
                  <c:pt idx="3">
                    <c:v>1.7800000000001565E-3</c:v>
                  </c:pt>
                </c:numCache>
              </c:numRef>
            </c:plus>
            <c:minus>
              <c:numRef>
                <c:f>'PETG - Diagrammer'!$G$21:$G$24</c:f>
                <c:numCache>
                  <c:formatCode>General</c:formatCode>
                  <c:ptCount val="4"/>
                  <c:pt idx="0">
                    <c:v>8.000000000000021E-4</c:v>
                  </c:pt>
                  <c:pt idx="1">
                    <c:v>5.4800000000000196E-3</c:v>
                  </c:pt>
                  <c:pt idx="2">
                    <c:v>3.0019999999999977E-2</c:v>
                  </c:pt>
                  <c:pt idx="3">
                    <c:v>1.7200000000001242E-3</c:v>
                  </c:pt>
                </c:numCache>
              </c:numRef>
            </c:minus>
            <c:spPr>
              <a:noFill/>
              <a:ln w="9525" cap="flat" cmpd="sng" algn="ctr">
                <a:solidFill>
                  <a:schemeClr val="tx1">
                    <a:lumMod val="65000"/>
                    <a:lumOff val="35000"/>
                  </a:schemeClr>
                </a:solidFill>
                <a:round/>
              </a:ln>
              <a:effectLst/>
            </c:spPr>
          </c:errBars>
          <c:cat>
            <c:numRef>
              <c:f>'PETG - Diagrammer'!$A$11:$A$14</c:f>
              <c:numCache>
                <c:formatCode>General</c:formatCode>
                <c:ptCount val="4"/>
                <c:pt idx="0">
                  <c:v>3</c:v>
                </c:pt>
                <c:pt idx="1">
                  <c:v>6</c:v>
                </c:pt>
                <c:pt idx="2">
                  <c:v>9</c:v>
                </c:pt>
                <c:pt idx="3">
                  <c:v>12</c:v>
                </c:pt>
              </c:numCache>
            </c:numRef>
          </c:cat>
          <c:val>
            <c:numRef>
              <c:f>'PETG - Diagrammer'!$D$11:$D$14</c:f>
              <c:numCache>
                <c:formatCode>0.0000</c:formatCode>
                <c:ptCount val="4"/>
                <c:pt idx="0">
                  <c:v>2.93E-2</c:v>
                </c:pt>
                <c:pt idx="1">
                  <c:v>3.1399999999999997E-2</c:v>
                </c:pt>
                <c:pt idx="2">
                  <c:v>5.67E-2</c:v>
                </c:pt>
                <c:pt idx="3">
                  <c:v>4.7300000000000002E-2</c:v>
                </c:pt>
              </c:numCache>
            </c:numRef>
          </c:val>
          <c:smooth val="0"/>
          <c:extLst>
            <c:ext xmlns:c16="http://schemas.microsoft.com/office/drawing/2014/chart" uri="{C3380CC4-5D6E-409C-BE32-E72D297353CC}">
              <c16:uniqueId val="{00000002-5167-4261-9C6F-B607EB964C05}"/>
            </c:ext>
          </c:extLst>
        </c:ser>
        <c:ser>
          <c:idx val="3"/>
          <c:order val="3"/>
          <c:tx>
            <c:strRef>
              <c:f>'PETG - Diagrammer'!$E$10</c:f>
              <c:strCache>
                <c:ptCount val="1"/>
                <c:pt idx="0">
                  <c:v>40°C Våt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errBars>
            <c:errDir val="y"/>
            <c:errBarType val="both"/>
            <c:errValType val="cust"/>
            <c:noEndCap val="0"/>
            <c:plus>
              <c:numRef>
                <c:f>'PETG - Diagrammer'!$H$21:$H$24</c:f>
                <c:numCache>
                  <c:formatCode>General</c:formatCode>
                  <c:ptCount val="4"/>
                  <c:pt idx="0">
                    <c:v>2.9999999999999367E-3</c:v>
                  </c:pt>
                  <c:pt idx="1">
                    <c:v>2.2199999999999338E-3</c:v>
                  </c:pt>
                  <c:pt idx="2">
                    <c:v>3.6519999999999796E-2</c:v>
                  </c:pt>
                  <c:pt idx="3">
                    <c:v>1.4799999999999883E-2</c:v>
                  </c:pt>
                </c:numCache>
              </c:numRef>
            </c:plus>
            <c:minus>
              <c:numRef>
                <c:f>'PETG - Diagrammer'!$I$21:$I$24</c:f>
                <c:numCache>
                  <c:formatCode>General</c:formatCode>
                  <c:ptCount val="4"/>
                  <c:pt idx="0">
                    <c:v>3.0999999999998355E-3</c:v>
                  </c:pt>
                  <c:pt idx="1">
                    <c:v>5.0799999999999283E-3</c:v>
                  </c:pt>
                  <c:pt idx="2">
                    <c:v>1.1680000000000003E-2</c:v>
                  </c:pt>
                  <c:pt idx="3">
                    <c:v>1.1500000000000107E-2</c:v>
                  </c:pt>
                </c:numCache>
              </c:numRef>
            </c:minus>
            <c:spPr>
              <a:noFill/>
              <a:ln w="9525" cap="flat" cmpd="sng" algn="ctr">
                <a:solidFill>
                  <a:schemeClr val="tx1">
                    <a:lumMod val="65000"/>
                    <a:lumOff val="35000"/>
                  </a:schemeClr>
                </a:solidFill>
                <a:round/>
              </a:ln>
              <a:effectLst/>
            </c:spPr>
          </c:errBars>
          <c:cat>
            <c:numRef>
              <c:f>'PETG - Diagrammer'!$A$11:$A$14</c:f>
              <c:numCache>
                <c:formatCode>General</c:formatCode>
                <c:ptCount val="4"/>
                <c:pt idx="0">
                  <c:v>3</c:v>
                </c:pt>
                <c:pt idx="1">
                  <c:v>6</c:v>
                </c:pt>
                <c:pt idx="2">
                  <c:v>9</c:v>
                </c:pt>
                <c:pt idx="3">
                  <c:v>12</c:v>
                </c:pt>
              </c:numCache>
            </c:numRef>
          </c:cat>
          <c:val>
            <c:numRef>
              <c:f>'PETG - Diagrammer'!$E$11:$E$14</c:f>
              <c:numCache>
                <c:formatCode>0.0000</c:formatCode>
                <c:ptCount val="4"/>
                <c:pt idx="0">
                  <c:v>0.03</c:v>
                </c:pt>
                <c:pt idx="1">
                  <c:v>3.0200000000000001E-2</c:v>
                </c:pt>
                <c:pt idx="2">
                  <c:v>4.3900000000000002E-2</c:v>
                </c:pt>
                <c:pt idx="3">
                  <c:v>4.7199999999999999E-2</c:v>
                </c:pt>
              </c:numCache>
            </c:numRef>
          </c:val>
          <c:smooth val="0"/>
          <c:extLst>
            <c:ext xmlns:c16="http://schemas.microsoft.com/office/drawing/2014/chart" uri="{C3380CC4-5D6E-409C-BE32-E72D297353CC}">
              <c16:uniqueId val="{00000003-5167-4261-9C6F-B607EB964C05}"/>
            </c:ext>
          </c:extLst>
        </c:ser>
        <c:ser>
          <c:idx val="4"/>
          <c:order val="4"/>
          <c:tx>
            <c:strRef>
              <c:f>'PETG - Diagrammer'!$F$10</c:f>
              <c:strCache>
                <c:ptCount val="1"/>
                <c:pt idx="0">
                  <c:v>60°C Tørr</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cat>
            <c:numRef>
              <c:f>'PETG - Diagrammer'!$A$11:$A$14</c:f>
              <c:numCache>
                <c:formatCode>General</c:formatCode>
                <c:ptCount val="4"/>
                <c:pt idx="0">
                  <c:v>3</c:v>
                </c:pt>
                <c:pt idx="1">
                  <c:v>6</c:v>
                </c:pt>
                <c:pt idx="2">
                  <c:v>9</c:v>
                </c:pt>
                <c:pt idx="3">
                  <c:v>12</c:v>
                </c:pt>
              </c:numCache>
            </c:numRef>
          </c:cat>
          <c:val>
            <c:numRef>
              <c:f>'PETG - Diagrammer'!$F$11:$F$14</c:f>
              <c:numCache>
                <c:formatCode>0.0000</c:formatCode>
                <c:ptCount val="4"/>
                <c:pt idx="0">
                  <c:v>3.7999999999999999E-2</c:v>
                </c:pt>
                <c:pt idx="1">
                  <c:v>4.2900000000000001E-2</c:v>
                </c:pt>
                <c:pt idx="2">
                  <c:v>4.4499999999999998E-2</c:v>
                </c:pt>
                <c:pt idx="3">
                  <c:v>5.0599999999999999E-2</c:v>
                </c:pt>
              </c:numCache>
            </c:numRef>
          </c:val>
          <c:smooth val="0"/>
          <c:extLst>
            <c:ext xmlns:c16="http://schemas.microsoft.com/office/drawing/2014/chart" uri="{C3380CC4-5D6E-409C-BE32-E72D297353CC}">
              <c16:uniqueId val="{0000000C-5167-4261-9C6F-B607EB964C05}"/>
            </c:ext>
          </c:extLst>
        </c:ser>
        <c:ser>
          <c:idx val="5"/>
          <c:order val="5"/>
          <c:tx>
            <c:strRef>
              <c:f>'PETG - Diagrammer'!$G$10</c:f>
              <c:strCache>
                <c:ptCount val="1"/>
                <c:pt idx="0">
                  <c:v>60°C Våt</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cat>
            <c:numRef>
              <c:f>'PETG - Diagrammer'!$A$11:$A$14</c:f>
              <c:numCache>
                <c:formatCode>General</c:formatCode>
                <c:ptCount val="4"/>
                <c:pt idx="0">
                  <c:v>3</c:v>
                </c:pt>
                <c:pt idx="1">
                  <c:v>6</c:v>
                </c:pt>
                <c:pt idx="2">
                  <c:v>9</c:v>
                </c:pt>
                <c:pt idx="3">
                  <c:v>12</c:v>
                </c:pt>
              </c:numCache>
            </c:numRef>
          </c:cat>
          <c:val>
            <c:numRef>
              <c:f>'PETG - Diagrammer'!$G$11:$G$14</c:f>
              <c:numCache>
                <c:formatCode>0.0000</c:formatCode>
                <c:ptCount val="4"/>
                <c:pt idx="0">
                  <c:v>4.36E-2</c:v>
                </c:pt>
                <c:pt idx="1">
                  <c:v>4.2599999999999999E-2</c:v>
                </c:pt>
                <c:pt idx="2">
                  <c:v>5.4800000000000001E-2</c:v>
                </c:pt>
                <c:pt idx="3">
                  <c:v>5.0999999999999997E-2</c:v>
                </c:pt>
              </c:numCache>
            </c:numRef>
          </c:val>
          <c:smooth val="0"/>
          <c:extLst>
            <c:ext xmlns:c16="http://schemas.microsoft.com/office/drawing/2014/chart" uri="{C3380CC4-5D6E-409C-BE32-E72D297353CC}">
              <c16:uniqueId val="{0000000D-5167-4261-9C6F-B607EB964C05}"/>
            </c:ext>
          </c:extLst>
        </c:ser>
        <c:dLbls>
          <c:showLegendKey val="0"/>
          <c:showVal val="0"/>
          <c:showCatName val="0"/>
          <c:showSerName val="0"/>
          <c:showPercent val="0"/>
          <c:showBubbleSize val="0"/>
        </c:dLbls>
        <c:marker val="1"/>
        <c:smooth val="0"/>
        <c:axId val="2012327712"/>
        <c:axId val="2012323872"/>
      </c:lineChart>
      <c:catAx>
        <c:axId val="20123277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2012323872"/>
        <c:crosses val="autoZero"/>
        <c:auto val="1"/>
        <c:lblAlgn val="ctr"/>
        <c:lblOffset val="100"/>
        <c:noMultiLvlLbl val="0"/>
      </c:catAx>
      <c:valAx>
        <c:axId val="2012323872"/>
        <c:scaling>
          <c:orientation val="minMax"/>
          <c:max val="0.10500000000000001"/>
          <c:min val="1.5000000000000003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Vekt</a:t>
                </a:r>
                <a:r>
                  <a:rPr lang="nb-NO" baseline="0"/>
                  <a:t> (g)</a:t>
                </a:r>
                <a:endParaRPr lang="nb-NO"/>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2012327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Gjennomsnittlig permanent vektendring for PETG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barChart>
        <c:barDir val="col"/>
        <c:grouping val="clustered"/>
        <c:varyColors val="0"/>
        <c:ser>
          <c:idx val="1"/>
          <c:order val="1"/>
          <c:tx>
            <c:strRef>
              <c:f>'PETG - Diagrammer'!$B$63</c:f>
              <c:strCache>
                <c:ptCount val="1"/>
                <c:pt idx="0">
                  <c:v>20°C Tørr</c:v>
                </c:pt>
              </c:strCache>
            </c:strRef>
          </c:tx>
          <c:spPr>
            <a:solidFill>
              <a:schemeClr val="accent2"/>
            </a:solidFill>
            <a:ln>
              <a:noFill/>
            </a:ln>
            <a:effectLst/>
          </c:spPr>
          <c:invertIfNegative val="0"/>
          <c:errBars>
            <c:errBarType val="both"/>
            <c:errValType val="cust"/>
            <c:noEndCap val="0"/>
            <c:plus>
              <c:numRef>
                <c:f>'PETG - Diagrammer'!$B$73:$B$76</c:f>
                <c:numCache>
                  <c:formatCode>General</c:formatCode>
                  <c:ptCount val="4"/>
                  <c:pt idx="0">
                    <c:v>2.0399999999999082E-3</c:v>
                  </c:pt>
                  <c:pt idx="1">
                    <c:v>6.5000000000000387E-3</c:v>
                  </c:pt>
                  <c:pt idx="2">
                    <c:v>1.4220000000000033E-2</c:v>
                  </c:pt>
                  <c:pt idx="3">
                    <c:v>1.7800000000000706E-3</c:v>
                  </c:pt>
                </c:numCache>
              </c:numRef>
            </c:plus>
            <c:minus>
              <c:numRef>
                <c:f>'PETG - Diagrammer'!$C$73:$C$76</c:f>
                <c:numCache>
                  <c:formatCode>General</c:formatCode>
                  <c:ptCount val="4"/>
                  <c:pt idx="0">
                    <c:v>2.4600000000000403E-3</c:v>
                  </c:pt>
                  <c:pt idx="1">
                    <c:v>7.2999999999999957E-3</c:v>
                  </c:pt>
                  <c:pt idx="2">
                    <c:v>1.3079999999999847E-2</c:v>
                  </c:pt>
                  <c:pt idx="3">
                    <c:v>1.0200000000000651E-3</c:v>
                  </c:pt>
                </c:numCache>
              </c:numRef>
            </c:minus>
            <c:spPr>
              <a:noFill/>
              <a:ln w="9525" cap="flat" cmpd="sng" algn="ctr">
                <a:solidFill>
                  <a:schemeClr val="tx1">
                    <a:lumMod val="65000"/>
                    <a:lumOff val="35000"/>
                  </a:schemeClr>
                </a:solidFill>
                <a:round/>
              </a:ln>
              <a:effectLst/>
            </c:spPr>
          </c:errBars>
          <c:cat>
            <c:numRef>
              <c:f>'PETG - Diagrammer'!$A$64:$A$67</c:f>
              <c:numCache>
                <c:formatCode>General</c:formatCode>
                <c:ptCount val="4"/>
                <c:pt idx="0">
                  <c:v>3</c:v>
                </c:pt>
                <c:pt idx="1">
                  <c:v>6</c:v>
                </c:pt>
                <c:pt idx="2">
                  <c:v>9</c:v>
                </c:pt>
                <c:pt idx="3">
                  <c:v>12</c:v>
                </c:pt>
              </c:numCache>
            </c:numRef>
          </c:cat>
          <c:val>
            <c:numRef>
              <c:f>'PETG - Diagrammer'!$B$64:$B$67</c:f>
              <c:numCache>
                <c:formatCode>0.0000</c:formatCode>
                <c:ptCount val="4"/>
                <c:pt idx="0">
                  <c:v>7.3599999999999447E-3</c:v>
                </c:pt>
                <c:pt idx="1">
                  <c:v>7.3999999999999847E-3</c:v>
                </c:pt>
                <c:pt idx="2">
                  <c:v>1.0179999999999944E-2</c:v>
                </c:pt>
                <c:pt idx="3">
                  <c:v>5.9199999999999696E-3</c:v>
                </c:pt>
              </c:numCache>
            </c:numRef>
          </c:val>
          <c:extLst>
            <c:ext xmlns:c16="http://schemas.microsoft.com/office/drawing/2014/chart" uri="{C3380CC4-5D6E-409C-BE32-E72D297353CC}">
              <c16:uniqueId val="{00000001-4698-4B95-A8A5-3F922EDDFAEB}"/>
            </c:ext>
          </c:extLst>
        </c:ser>
        <c:ser>
          <c:idx val="2"/>
          <c:order val="2"/>
          <c:tx>
            <c:strRef>
              <c:f>'PETG - Diagrammer'!$C$63</c:f>
              <c:strCache>
                <c:ptCount val="1"/>
                <c:pt idx="0">
                  <c:v>40°C Tørr</c:v>
                </c:pt>
              </c:strCache>
            </c:strRef>
          </c:tx>
          <c:spPr>
            <a:solidFill>
              <a:schemeClr val="accent3"/>
            </a:solidFill>
            <a:ln>
              <a:noFill/>
            </a:ln>
            <a:effectLst/>
          </c:spPr>
          <c:invertIfNegative val="0"/>
          <c:errBars>
            <c:errBarType val="both"/>
            <c:errValType val="cust"/>
            <c:noEndCap val="0"/>
            <c:plus>
              <c:numRef>
                <c:f>'PETG - Diagrammer'!$D$73:$D$76</c:f>
                <c:numCache>
                  <c:formatCode>General</c:formatCode>
                  <c:ptCount val="4"/>
                  <c:pt idx="0">
                    <c:v>2.580000000000071E-3</c:v>
                  </c:pt>
                  <c:pt idx="1">
                    <c:v>4.300000000000059E-3</c:v>
                  </c:pt>
                  <c:pt idx="2">
                    <c:v>7.5799999999999201E-3</c:v>
                  </c:pt>
                  <c:pt idx="3">
                    <c:v>4.4000000000004105E-4</c:v>
                  </c:pt>
                </c:numCache>
              </c:numRef>
            </c:plus>
            <c:minus>
              <c:numRef>
                <c:f>'PETG - Diagrammer'!$E$73:$E$76</c:f>
                <c:numCache>
                  <c:formatCode>General</c:formatCode>
                  <c:ptCount val="4"/>
                  <c:pt idx="0">
                    <c:v>6.1200000000000811E-3</c:v>
                  </c:pt>
                  <c:pt idx="1">
                    <c:v>6.7000000000000618E-3</c:v>
                  </c:pt>
                  <c:pt idx="2">
                    <c:v>6.3199999999998813E-3</c:v>
                  </c:pt>
                  <c:pt idx="3">
                    <c:v>6.6000000000005984E-4</c:v>
                  </c:pt>
                </c:numCache>
              </c:numRef>
            </c:minus>
            <c:spPr>
              <a:noFill/>
              <a:ln w="9525" cap="flat" cmpd="sng" algn="ctr">
                <a:solidFill>
                  <a:schemeClr val="tx1">
                    <a:lumMod val="65000"/>
                    <a:lumOff val="35000"/>
                  </a:schemeClr>
                </a:solidFill>
                <a:round/>
              </a:ln>
              <a:effectLst/>
            </c:spPr>
          </c:errBars>
          <c:cat>
            <c:numRef>
              <c:f>'PETG - Diagrammer'!$A$64:$A$67</c:f>
              <c:numCache>
                <c:formatCode>General</c:formatCode>
                <c:ptCount val="4"/>
                <c:pt idx="0">
                  <c:v>3</c:v>
                </c:pt>
                <c:pt idx="1">
                  <c:v>6</c:v>
                </c:pt>
                <c:pt idx="2">
                  <c:v>9</c:v>
                </c:pt>
                <c:pt idx="3">
                  <c:v>12</c:v>
                </c:pt>
              </c:numCache>
            </c:numRef>
          </c:cat>
          <c:val>
            <c:numRef>
              <c:f>'PETG - Diagrammer'!$C$64:$C$67</c:f>
              <c:numCache>
                <c:formatCode>0.0000</c:formatCode>
                <c:ptCount val="4"/>
                <c:pt idx="0">
                  <c:v>7.21999999999996E-3</c:v>
                </c:pt>
                <c:pt idx="1">
                  <c:v>8.9000000000000416E-3</c:v>
                </c:pt>
                <c:pt idx="2">
                  <c:v>9.020000000000028E-3</c:v>
                </c:pt>
                <c:pt idx="3">
                  <c:v>1.0960000000000036E-2</c:v>
                </c:pt>
              </c:numCache>
            </c:numRef>
          </c:val>
          <c:extLst>
            <c:ext xmlns:c16="http://schemas.microsoft.com/office/drawing/2014/chart" uri="{C3380CC4-5D6E-409C-BE32-E72D297353CC}">
              <c16:uniqueId val="{00000002-4698-4B95-A8A5-3F922EDDFAEB}"/>
            </c:ext>
          </c:extLst>
        </c:ser>
        <c:ser>
          <c:idx val="3"/>
          <c:order val="3"/>
          <c:tx>
            <c:strRef>
              <c:f>'PETG - Diagrammer'!$D$63</c:f>
              <c:strCache>
                <c:ptCount val="1"/>
                <c:pt idx="0">
                  <c:v>60°C Tørr</c:v>
                </c:pt>
              </c:strCache>
            </c:strRef>
          </c:tx>
          <c:spPr>
            <a:solidFill>
              <a:schemeClr val="accent4"/>
            </a:solidFill>
            <a:ln>
              <a:noFill/>
            </a:ln>
            <a:effectLst/>
          </c:spPr>
          <c:invertIfNegative val="0"/>
          <c:errBars>
            <c:errBarType val="both"/>
            <c:errValType val="cust"/>
            <c:noEndCap val="0"/>
            <c:plus>
              <c:numRef>
                <c:f>'PETG - Diagrammer'!$F$73:$F$76</c:f>
                <c:numCache>
                  <c:formatCode>General</c:formatCode>
                  <c:ptCount val="4"/>
                  <c:pt idx="0">
                    <c:v>2.7000000000001016E-3</c:v>
                  </c:pt>
                  <c:pt idx="1">
                    <c:v>6.1399999999998574E-3</c:v>
                  </c:pt>
                  <c:pt idx="2">
                    <c:v>9.6400000000000478E-3</c:v>
                  </c:pt>
                  <c:pt idx="3">
                    <c:v>1.2000000000000448E-3</c:v>
                  </c:pt>
                </c:numCache>
              </c:numRef>
            </c:plus>
            <c:minus>
              <c:numRef>
                <c:f>'PETG - Diagrammer'!$G$73:$G$76</c:f>
                <c:numCache>
                  <c:formatCode>General</c:formatCode>
                  <c:ptCount val="4"/>
                  <c:pt idx="0">
                    <c:v>2.7999999999999588E-3</c:v>
                  </c:pt>
                  <c:pt idx="1">
                    <c:v>3.6599999999999515E-3</c:v>
                  </c:pt>
                  <c:pt idx="2">
                    <c:v>1.0259999999999981E-2</c:v>
                  </c:pt>
                  <c:pt idx="3">
                    <c:v>1.7000000000000799E-3</c:v>
                  </c:pt>
                </c:numCache>
              </c:numRef>
            </c:minus>
            <c:spPr>
              <a:noFill/>
              <a:ln w="9525" cap="flat" cmpd="sng" algn="ctr">
                <a:solidFill>
                  <a:schemeClr val="tx1">
                    <a:lumMod val="65000"/>
                    <a:lumOff val="35000"/>
                  </a:schemeClr>
                </a:solidFill>
                <a:round/>
              </a:ln>
              <a:effectLst/>
            </c:spPr>
          </c:errBars>
          <c:cat>
            <c:numRef>
              <c:f>'PETG - Diagrammer'!$A$64:$A$67</c:f>
              <c:numCache>
                <c:formatCode>General</c:formatCode>
                <c:ptCount val="4"/>
                <c:pt idx="0">
                  <c:v>3</c:v>
                </c:pt>
                <c:pt idx="1">
                  <c:v>6</c:v>
                </c:pt>
                <c:pt idx="2">
                  <c:v>9</c:v>
                </c:pt>
                <c:pt idx="3">
                  <c:v>12</c:v>
                </c:pt>
              </c:numCache>
            </c:numRef>
          </c:cat>
          <c:val>
            <c:numRef>
              <c:f>'PETG - Diagrammer'!$D$64:$D$67</c:f>
              <c:numCache>
                <c:formatCode>0.0000</c:formatCode>
                <c:ptCount val="4"/>
                <c:pt idx="0">
                  <c:v>1.4200000000000036E-2</c:v>
                </c:pt>
                <c:pt idx="1">
                  <c:v>9.7599999999999458E-3</c:v>
                </c:pt>
                <c:pt idx="2">
                  <c:v>1.6459999999999964E-2</c:v>
                </c:pt>
                <c:pt idx="3">
                  <c:v>1.3900000000000023E-2</c:v>
                </c:pt>
              </c:numCache>
            </c:numRef>
          </c:val>
          <c:extLst>
            <c:ext xmlns:c16="http://schemas.microsoft.com/office/drawing/2014/chart" uri="{C3380CC4-5D6E-409C-BE32-E72D297353CC}">
              <c16:uniqueId val="{00000003-4698-4B95-A8A5-3F922EDDFAEB}"/>
            </c:ext>
          </c:extLst>
        </c:ser>
        <c:dLbls>
          <c:showLegendKey val="0"/>
          <c:showVal val="0"/>
          <c:showCatName val="0"/>
          <c:showSerName val="0"/>
          <c:showPercent val="0"/>
          <c:showBubbleSize val="0"/>
        </c:dLbls>
        <c:gapWidth val="219"/>
        <c:overlap val="-27"/>
        <c:axId val="99855727"/>
        <c:axId val="148962127"/>
        <c:extLst>
          <c:ext xmlns:c15="http://schemas.microsoft.com/office/drawing/2012/chart" uri="{02D57815-91ED-43cb-92C2-25804820EDAC}">
            <c15:filteredBarSeries>
              <c15:ser>
                <c:idx val="0"/>
                <c:order val="0"/>
                <c:tx>
                  <c:strRef>
                    <c:extLst>
                      <c:ext uri="{02D57815-91ED-43cb-92C2-25804820EDAC}">
                        <c15:formulaRef>
                          <c15:sqref>'PETG - Diagrammer'!$A$63</c15:sqref>
                        </c15:formulaRef>
                      </c:ext>
                    </c:extLst>
                    <c:strCache>
                      <c:ptCount val="1"/>
                      <c:pt idx="0">
                        <c:v>Uke</c:v>
                      </c:pt>
                    </c:strCache>
                  </c:strRef>
                </c:tx>
                <c:spPr>
                  <a:solidFill>
                    <a:schemeClr val="accent1"/>
                  </a:solidFill>
                  <a:ln>
                    <a:noFill/>
                  </a:ln>
                  <a:effectLst/>
                </c:spPr>
                <c:invertIfNegative val="0"/>
                <c:cat>
                  <c:numRef>
                    <c:extLst>
                      <c:ext uri="{02D57815-91ED-43cb-92C2-25804820EDAC}">
                        <c15:formulaRef>
                          <c15:sqref>'PETG - Diagrammer'!$A$64:$A$67</c15:sqref>
                        </c15:formulaRef>
                      </c:ext>
                    </c:extLst>
                    <c:numCache>
                      <c:formatCode>General</c:formatCode>
                      <c:ptCount val="4"/>
                      <c:pt idx="0">
                        <c:v>3</c:v>
                      </c:pt>
                      <c:pt idx="1">
                        <c:v>6</c:v>
                      </c:pt>
                      <c:pt idx="2">
                        <c:v>9</c:v>
                      </c:pt>
                      <c:pt idx="3">
                        <c:v>12</c:v>
                      </c:pt>
                    </c:numCache>
                  </c:numRef>
                </c:cat>
                <c:val>
                  <c:numRef>
                    <c:extLst>
                      <c:ext uri="{02D57815-91ED-43cb-92C2-25804820EDAC}">
                        <c15:formulaRef>
                          <c15:sqref>'PETG - Diagrammer'!$A$64:$A$67</c15:sqref>
                        </c15:formulaRef>
                      </c:ext>
                    </c:extLst>
                    <c:numCache>
                      <c:formatCode>General</c:formatCode>
                      <c:ptCount val="4"/>
                      <c:pt idx="0">
                        <c:v>3</c:v>
                      </c:pt>
                      <c:pt idx="1">
                        <c:v>6</c:v>
                      </c:pt>
                      <c:pt idx="2">
                        <c:v>9</c:v>
                      </c:pt>
                      <c:pt idx="3">
                        <c:v>12</c:v>
                      </c:pt>
                    </c:numCache>
                  </c:numRef>
                </c:val>
                <c:extLst>
                  <c:ext xmlns:c16="http://schemas.microsoft.com/office/drawing/2014/chart" uri="{C3380CC4-5D6E-409C-BE32-E72D297353CC}">
                    <c16:uniqueId val="{00000000-4698-4B95-A8A5-3F922EDDFAEB}"/>
                  </c:ext>
                </c:extLst>
              </c15:ser>
            </c15:filteredBarSeries>
          </c:ext>
        </c:extLst>
      </c:barChart>
      <c:catAx>
        <c:axId val="99855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48962127"/>
        <c:crosses val="autoZero"/>
        <c:auto val="1"/>
        <c:lblAlgn val="ctr"/>
        <c:lblOffset val="100"/>
        <c:noMultiLvlLbl val="0"/>
      </c:catAx>
      <c:valAx>
        <c:axId val="148962127"/>
        <c:scaling>
          <c:orientation val="minMax"/>
          <c:max val="3.0000000000000006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Vekt</a:t>
                </a:r>
                <a:r>
                  <a:rPr lang="nb-NO" baseline="0"/>
                  <a:t> (g)</a:t>
                </a:r>
                <a:endParaRPr lang="nb-NO"/>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9855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400" b="0" i="0" u="none" strike="noStrike" kern="1200" spc="0" baseline="0">
                <a:solidFill>
                  <a:sysClr val="windowText" lastClr="000000">
                    <a:lumMod val="65000"/>
                    <a:lumOff val="35000"/>
                  </a:sysClr>
                </a:solidFill>
              </a:rPr>
              <a:t>Andel av vektopptak som ble værende etter tørking for PETG</a:t>
            </a:r>
          </a:p>
        </c:rich>
      </c:tx>
      <c:layout>
        <c:manualLayout>
          <c:xMode val="edge"/>
          <c:yMode val="edge"/>
          <c:x val="0.23424878932386972"/>
          <c:y val="1.57232704402515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1"/>
          <c:order val="1"/>
          <c:tx>
            <c:strRef>
              <c:f>'PETG - Prosent'!$B$21</c:f>
              <c:strCache>
                <c:ptCount val="1"/>
                <c:pt idx="0">
                  <c:v> 20°C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'PETG - Prosent'!$A$22:$A$25</c:f>
              <c:numCache>
                <c:formatCode>General</c:formatCode>
                <c:ptCount val="4"/>
                <c:pt idx="0">
                  <c:v>3</c:v>
                </c:pt>
                <c:pt idx="1">
                  <c:v>6</c:v>
                </c:pt>
                <c:pt idx="2">
                  <c:v>9</c:v>
                </c:pt>
                <c:pt idx="3">
                  <c:v>12</c:v>
                </c:pt>
              </c:numCache>
            </c:numRef>
          </c:cat>
          <c:val>
            <c:numRef>
              <c:f>'PETG - Prosent'!$B$22:$B$25</c:f>
              <c:numCache>
                <c:formatCode>0.00%</c:formatCode>
                <c:ptCount val="4"/>
                <c:pt idx="0">
                  <c:v>0.30705394190871371</c:v>
                </c:pt>
                <c:pt idx="1">
                  <c:v>0.29599999999999999</c:v>
                </c:pt>
                <c:pt idx="2">
                  <c:v>0.38636363636363641</c:v>
                </c:pt>
                <c:pt idx="3">
                  <c:v>0.15945945945945947</c:v>
                </c:pt>
              </c:numCache>
            </c:numRef>
          </c:val>
          <c:smooth val="0"/>
          <c:extLst>
            <c:ext xmlns:c16="http://schemas.microsoft.com/office/drawing/2014/chart" uri="{C3380CC4-5D6E-409C-BE32-E72D297353CC}">
              <c16:uniqueId val="{00000001-8A3A-42BA-A279-3C5D57508981}"/>
            </c:ext>
          </c:extLst>
        </c:ser>
        <c:ser>
          <c:idx val="2"/>
          <c:order val="2"/>
          <c:tx>
            <c:strRef>
              <c:f>'PETG - Prosent'!$C$21</c:f>
              <c:strCache>
                <c:ptCount val="1"/>
                <c:pt idx="0">
                  <c:v> 40°C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'PETG - Prosent'!$A$22:$A$25</c:f>
              <c:numCache>
                <c:formatCode>General</c:formatCode>
                <c:ptCount val="4"/>
                <c:pt idx="0">
                  <c:v>3</c:v>
                </c:pt>
                <c:pt idx="1">
                  <c:v>6</c:v>
                </c:pt>
                <c:pt idx="2">
                  <c:v>9</c:v>
                </c:pt>
                <c:pt idx="3">
                  <c:v>12</c:v>
                </c:pt>
              </c:numCache>
            </c:numRef>
          </c:cat>
          <c:val>
            <c:numRef>
              <c:f>'PETG - Prosent'!$C$22:$C$25</c:f>
              <c:numCache>
                <c:formatCode>0.00%</c:formatCode>
                <c:ptCount val="4"/>
                <c:pt idx="0">
                  <c:v>0.24573378839590443</c:v>
                </c:pt>
                <c:pt idx="1">
                  <c:v>0.28343949044585992</c:v>
                </c:pt>
                <c:pt idx="2">
                  <c:v>0.15873015873015872</c:v>
                </c:pt>
                <c:pt idx="3">
                  <c:v>0.23255813953488369</c:v>
                </c:pt>
              </c:numCache>
            </c:numRef>
          </c:val>
          <c:smooth val="0"/>
          <c:extLst>
            <c:ext xmlns:c16="http://schemas.microsoft.com/office/drawing/2014/chart" uri="{C3380CC4-5D6E-409C-BE32-E72D297353CC}">
              <c16:uniqueId val="{00000002-8A3A-42BA-A279-3C5D57508981}"/>
            </c:ext>
          </c:extLst>
        </c:ser>
        <c:ser>
          <c:idx val="3"/>
          <c:order val="3"/>
          <c:tx>
            <c:strRef>
              <c:f>'PETG - Prosent'!$D$21</c:f>
              <c:strCache>
                <c:ptCount val="1"/>
                <c:pt idx="0">
                  <c:v>60°C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'PETG - Prosent'!$A$22:$A$25</c:f>
              <c:numCache>
                <c:formatCode>General</c:formatCode>
                <c:ptCount val="4"/>
                <c:pt idx="0">
                  <c:v>3</c:v>
                </c:pt>
                <c:pt idx="1">
                  <c:v>6</c:v>
                </c:pt>
                <c:pt idx="2">
                  <c:v>9</c:v>
                </c:pt>
                <c:pt idx="3">
                  <c:v>12</c:v>
                </c:pt>
              </c:numCache>
            </c:numRef>
          </c:cat>
          <c:val>
            <c:numRef>
              <c:f>'PETG - Prosent'!$D$22:$D$25</c:f>
              <c:numCache>
                <c:formatCode>0.00%</c:formatCode>
                <c:ptCount val="4"/>
                <c:pt idx="0">
                  <c:v>0.37368421052631584</c:v>
                </c:pt>
                <c:pt idx="1">
                  <c:v>0.22843822843822842</c:v>
                </c:pt>
                <c:pt idx="2">
                  <c:v>0.3707865168539326</c:v>
                </c:pt>
                <c:pt idx="3">
                  <c:v>0.25098814229249011</c:v>
                </c:pt>
              </c:numCache>
            </c:numRef>
          </c:val>
          <c:smooth val="0"/>
          <c:extLst>
            <c:ext xmlns:c16="http://schemas.microsoft.com/office/drawing/2014/chart" uri="{C3380CC4-5D6E-409C-BE32-E72D297353CC}">
              <c16:uniqueId val="{00000003-8A3A-42BA-A279-3C5D57508981}"/>
            </c:ext>
          </c:extLst>
        </c:ser>
        <c:dLbls>
          <c:showLegendKey val="0"/>
          <c:showVal val="0"/>
          <c:showCatName val="0"/>
          <c:showSerName val="0"/>
          <c:showPercent val="0"/>
          <c:showBubbleSize val="0"/>
        </c:dLbls>
        <c:marker val="1"/>
        <c:smooth val="0"/>
        <c:axId val="732818240"/>
        <c:axId val="732820640"/>
        <c:extLst>
          <c:ext xmlns:c15="http://schemas.microsoft.com/office/drawing/2012/chart" uri="{02D57815-91ED-43cb-92C2-25804820EDAC}">
            <c15:filteredLineSeries>
              <c15:ser>
                <c:idx val="0"/>
                <c:order val="0"/>
                <c:tx>
                  <c:strRef>
                    <c:extLst>
                      <c:ext uri="{02D57815-91ED-43cb-92C2-25804820EDAC}">
                        <c15:formulaRef>
                          <c15:sqref>'PETG - Prosent'!$A$21</c15:sqref>
                        </c15:formulaRef>
                      </c:ext>
                    </c:extLst>
                    <c:strCache>
                      <c:ptCount val="1"/>
                      <c:pt idx="0">
                        <c:v>Uke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'PETG - Prosent'!$A$22:$A$25</c15:sqref>
                        </c15:formulaRef>
                      </c:ext>
                    </c:extLst>
                    <c:numCache>
                      <c:formatCode>General</c:formatCode>
                      <c:ptCount val="4"/>
                      <c:pt idx="0">
                        <c:v>3</c:v>
                      </c:pt>
                      <c:pt idx="1">
                        <c:v>6</c:v>
                      </c:pt>
                      <c:pt idx="2">
                        <c:v>9</c:v>
                      </c:pt>
                      <c:pt idx="3">
                        <c:v>12</c:v>
                      </c:pt>
                    </c:numCache>
                  </c:numRef>
                </c:cat>
                <c:val>
                  <c:numRef>
                    <c:extLst>
                      <c:ext uri="{02D57815-91ED-43cb-92C2-25804820EDAC}">
                        <c15:formulaRef>
                          <c15:sqref>'PETG - Prosent'!$A$22:$A$25</c15:sqref>
                        </c15:formulaRef>
                      </c:ext>
                    </c:extLst>
                    <c:numCache>
                      <c:formatCode>General</c:formatCode>
                      <c:ptCount val="4"/>
                      <c:pt idx="0">
                        <c:v>3</c:v>
                      </c:pt>
                      <c:pt idx="1">
                        <c:v>6</c:v>
                      </c:pt>
                      <c:pt idx="2">
                        <c:v>9</c:v>
                      </c:pt>
                      <c:pt idx="3">
                        <c:v>12</c:v>
                      </c:pt>
                    </c:numCache>
                  </c:numRef>
                </c:val>
                <c:smooth val="0"/>
                <c:extLst>
                  <c:ext xmlns:c16="http://schemas.microsoft.com/office/drawing/2014/chart" uri="{C3380CC4-5D6E-409C-BE32-E72D297353CC}">
                    <c16:uniqueId val="{00000000-8A3A-42BA-A279-3C5D57508981}"/>
                  </c:ext>
                </c:extLst>
              </c15:ser>
            </c15:filteredLineSeries>
          </c:ext>
        </c:extLst>
      </c:lineChart>
      <c:catAx>
        <c:axId val="73281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32820640"/>
        <c:crosses val="autoZero"/>
        <c:auto val="1"/>
        <c:lblAlgn val="ctr"/>
        <c:lblOffset val="100"/>
        <c:noMultiLvlLbl val="0"/>
      </c:catAx>
      <c:valAx>
        <c:axId val="732820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sz="1000" b="0" i="0" u="none" strike="noStrike" kern="1200" baseline="0">
                    <a:solidFill>
                      <a:sysClr val="windowText" lastClr="000000">
                        <a:lumMod val="65000"/>
                        <a:lumOff val="35000"/>
                      </a:sysClr>
                    </a:solidFill>
                  </a:rPr>
                  <a:t>Andel vektopptak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32818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400" b="0" i="0" u="none" strike="noStrike" kern="1200" spc="0" baseline="0">
                <a:solidFill>
                  <a:sysClr val="windowText" lastClr="000000">
                    <a:lumMod val="65000"/>
                    <a:lumOff val="35000"/>
                  </a:sysClr>
                </a:solidFill>
              </a:rPr>
              <a:t>Gjennomsnittlig permanent vektendring for ASA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barChart>
        <c:barDir val="col"/>
        <c:grouping val="clustered"/>
        <c:varyColors val="0"/>
        <c:ser>
          <c:idx val="1"/>
          <c:order val="1"/>
          <c:tx>
            <c:strRef>
              <c:f>'ASA - Diagrammer'!$B$62</c:f>
              <c:strCache>
                <c:ptCount val="1"/>
                <c:pt idx="0">
                  <c:v>20°C Tørr</c:v>
                </c:pt>
              </c:strCache>
            </c:strRef>
          </c:tx>
          <c:spPr>
            <a:solidFill>
              <a:schemeClr val="accent2"/>
            </a:solidFill>
            <a:ln>
              <a:noFill/>
            </a:ln>
            <a:effectLst/>
          </c:spPr>
          <c:invertIfNegative val="0"/>
          <c:errBars>
            <c:errBarType val="both"/>
            <c:errValType val="cust"/>
            <c:noEndCap val="0"/>
            <c:plus>
              <c:numRef>
                <c:f>'ASA - Diagrammer'!$B$72:$B$75</c:f>
                <c:numCache>
                  <c:formatCode>General</c:formatCode>
                  <c:ptCount val="4"/>
                  <c:pt idx="0">
                    <c:v>1.2799999999999899E-3</c:v>
                  </c:pt>
                  <c:pt idx="1">
                    <c:v>5.1800000000000214E-3</c:v>
                  </c:pt>
                  <c:pt idx="2">
                    <c:v>7.3000000000000001E-3</c:v>
                  </c:pt>
                  <c:pt idx="3">
                    <c:v>5.9999999999999984E-4</c:v>
                  </c:pt>
                </c:numCache>
              </c:numRef>
            </c:plus>
            <c:minus>
              <c:numRef>
                <c:f>'ASA - Diagrammer'!$C$72:$C$75</c:f>
                <c:numCache>
                  <c:formatCode>General</c:formatCode>
                  <c:ptCount val="4"/>
                  <c:pt idx="0">
                    <c:v>9.2000000000000989E-4</c:v>
                  </c:pt>
                  <c:pt idx="1">
                    <c:v>3.519999999999978E-3</c:v>
                  </c:pt>
                  <c:pt idx="2">
                    <c:v>5.7000000000000002E-3</c:v>
                  </c:pt>
                  <c:pt idx="3">
                    <c:v>3.9999999999999996E-4</c:v>
                  </c:pt>
                </c:numCache>
              </c:numRef>
            </c:minus>
            <c:spPr>
              <a:noFill/>
              <a:ln w="9525" cap="flat" cmpd="sng" algn="ctr">
                <a:solidFill>
                  <a:schemeClr val="tx1">
                    <a:lumMod val="65000"/>
                    <a:lumOff val="35000"/>
                  </a:schemeClr>
                </a:solidFill>
                <a:round/>
              </a:ln>
              <a:effectLst/>
            </c:spPr>
          </c:errBars>
          <c:cat>
            <c:numRef>
              <c:f>'ASA - Diagrammer'!$A$63:$A$66</c:f>
              <c:numCache>
                <c:formatCode>General</c:formatCode>
                <c:ptCount val="4"/>
                <c:pt idx="0">
                  <c:v>3</c:v>
                </c:pt>
                <c:pt idx="1">
                  <c:v>6</c:v>
                </c:pt>
                <c:pt idx="2">
                  <c:v>9</c:v>
                </c:pt>
                <c:pt idx="3">
                  <c:v>12</c:v>
                </c:pt>
              </c:numCache>
            </c:numRef>
          </c:cat>
          <c:val>
            <c:numRef>
              <c:f>'ASA - Diagrammer'!$B$63:$B$66</c:f>
              <c:numCache>
                <c:formatCode>0.0000</c:formatCode>
                <c:ptCount val="4"/>
                <c:pt idx="0">
                  <c:v>1.1200000000000099E-3</c:v>
                </c:pt>
                <c:pt idx="1">
                  <c:v>2.6199999999999778E-3</c:v>
                </c:pt>
                <c:pt idx="2">
                  <c:v>0</c:v>
                </c:pt>
                <c:pt idx="3">
                  <c:v>1.5E-3</c:v>
                </c:pt>
              </c:numCache>
            </c:numRef>
          </c:val>
          <c:extLst>
            <c:ext xmlns:c16="http://schemas.microsoft.com/office/drawing/2014/chart" uri="{C3380CC4-5D6E-409C-BE32-E72D297353CC}">
              <c16:uniqueId val="{00000001-7137-40B2-88B7-47BAA0DE6FFB}"/>
            </c:ext>
          </c:extLst>
        </c:ser>
        <c:ser>
          <c:idx val="2"/>
          <c:order val="2"/>
          <c:tx>
            <c:strRef>
              <c:f>'ASA - Diagrammer'!$C$62</c:f>
              <c:strCache>
                <c:ptCount val="1"/>
                <c:pt idx="0">
                  <c:v>40°C Tørr</c:v>
                </c:pt>
              </c:strCache>
            </c:strRef>
          </c:tx>
          <c:spPr>
            <a:solidFill>
              <a:schemeClr val="accent3"/>
            </a:solidFill>
            <a:ln>
              <a:noFill/>
            </a:ln>
            <a:effectLst/>
          </c:spPr>
          <c:invertIfNegative val="0"/>
          <c:errBars>
            <c:errBarType val="both"/>
            <c:errValType val="cust"/>
            <c:noEndCap val="0"/>
            <c:plus>
              <c:numRef>
                <c:f>'ASA - Diagrammer'!$D$72:$D$75</c:f>
                <c:numCache>
                  <c:formatCode>General</c:formatCode>
                  <c:ptCount val="4"/>
                  <c:pt idx="0">
                    <c:v>6.5000000000001428E-3</c:v>
                  </c:pt>
                  <c:pt idx="1">
                    <c:v>7.1000000000001392E-3</c:v>
                  </c:pt>
                  <c:pt idx="2">
                    <c:v>2.399999999999884E-3</c:v>
                  </c:pt>
                  <c:pt idx="3">
                    <c:v>8.9999999999994858E-4</c:v>
                  </c:pt>
                </c:numCache>
              </c:numRef>
            </c:plus>
            <c:minus>
              <c:numRef>
                <c:f>'ASA - Diagrammer'!$E$72:$E$75</c:f>
                <c:numCache>
                  <c:formatCode>General</c:formatCode>
                  <c:ptCount val="4"/>
                  <c:pt idx="0">
                    <c:v>2.7999999999999432E-3</c:v>
                  </c:pt>
                  <c:pt idx="1">
                    <c:v>9.100000000000075E-3</c:v>
                  </c:pt>
                  <c:pt idx="2">
                    <c:v>3.1000000000001764E-3</c:v>
                  </c:pt>
                  <c:pt idx="3">
                    <c:v>7.0000000000009725E-4</c:v>
                  </c:pt>
                </c:numCache>
              </c:numRef>
            </c:minus>
            <c:spPr>
              <a:noFill/>
              <a:ln w="9525" cap="flat" cmpd="sng" algn="ctr">
                <a:solidFill>
                  <a:schemeClr val="tx1">
                    <a:lumMod val="65000"/>
                    <a:lumOff val="35000"/>
                  </a:schemeClr>
                </a:solidFill>
                <a:round/>
              </a:ln>
              <a:effectLst/>
            </c:spPr>
          </c:errBars>
          <c:cat>
            <c:numRef>
              <c:f>'ASA - Diagrammer'!$A$63:$A$66</c:f>
              <c:numCache>
                <c:formatCode>General</c:formatCode>
                <c:ptCount val="4"/>
                <c:pt idx="0">
                  <c:v>3</c:v>
                </c:pt>
                <c:pt idx="1">
                  <c:v>6</c:v>
                </c:pt>
                <c:pt idx="2">
                  <c:v>9</c:v>
                </c:pt>
                <c:pt idx="3">
                  <c:v>12</c:v>
                </c:pt>
              </c:numCache>
            </c:numRef>
          </c:cat>
          <c:val>
            <c:numRef>
              <c:f>'ASA - Diagrammer'!$C$63:$C$66</c:f>
              <c:numCache>
                <c:formatCode>0.0000</c:formatCode>
                <c:ptCount val="4"/>
                <c:pt idx="0">
                  <c:v>4.3E-3</c:v>
                </c:pt>
                <c:pt idx="1">
                  <c:v>-2.9999999999999997E-4</c:v>
                </c:pt>
                <c:pt idx="2">
                  <c:v>4.7000000000000002E-3</c:v>
                </c:pt>
                <c:pt idx="3">
                  <c:v>3.5999999999999999E-3</c:v>
                </c:pt>
              </c:numCache>
            </c:numRef>
          </c:val>
          <c:extLst>
            <c:ext xmlns:c16="http://schemas.microsoft.com/office/drawing/2014/chart" uri="{C3380CC4-5D6E-409C-BE32-E72D297353CC}">
              <c16:uniqueId val="{00000002-7137-40B2-88B7-47BAA0DE6FFB}"/>
            </c:ext>
          </c:extLst>
        </c:ser>
        <c:ser>
          <c:idx val="3"/>
          <c:order val="3"/>
          <c:tx>
            <c:strRef>
              <c:f>'ASA - Diagrammer'!$D$62</c:f>
              <c:strCache>
                <c:ptCount val="1"/>
                <c:pt idx="0">
                  <c:v>60°C Tørr</c:v>
                </c:pt>
              </c:strCache>
            </c:strRef>
          </c:tx>
          <c:spPr>
            <a:solidFill>
              <a:schemeClr val="accent4"/>
            </a:solidFill>
            <a:ln>
              <a:noFill/>
            </a:ln>
            <a:effectLst/>
          </c:spPr>
          <c:invertIfNegative val="0"/>
          <c:errBars>
            <c:errBarType val="both"/>
            <c:errValType val="cust"/>
            <c:noEndCap val="0"/>
            <c:plus>
              <c:numRef>
                <c:f>'ASA - Diagrammer'!$F$72:$F$75</c:f>
                <c:numCache>
                  <c:formatCode>General</c:formatCode>
                  <c:ptCount val="4"/>
                  <c:pt idx="0">
                    <c:v>8.0000000000001468E-4</c:v>
                  </c:pt>
                  <c:pt idx="1">
                    <c:v>1.4399999999999871E-2</c:v>
                  </c:pt>
                  <c:pt idx="2">
                    <c:v>8.0000000000000002E-3</c:v>
                  </c:pt>
                  <c:pt idx="3">
                    <c:v>1.1199999999999957E-2</c:v>
                  </c:pt>
                </c:numCache>
              </c:numRef>
            </c:plus>
            <c:minus>
              <c:numRef>
                <c:f>'ASA - Diagrammer'!$G$72:$G$75</c:f>
                <c:numCache>
                  <c:formatCode>General</c:formatCode>
                  <c:ptCount val="4"/>
                  <c:pt idx="0">
                    <c:v>1.0999999999999981E-3</c:v>
                  </c:pt>
                  <c:pt idx="1">
                    <c:v>1.6199999999999867E-2</c:v>
                  </c:pt>
                  <c:pt idx="2">
                    <c:v>6.8000000000000387E-3</c:v>
                  </c:pt>
                  <c:pt idx="3">
                    <c:v>1.0600000000000085E-2</c:v>
                  </c:pt>
                </c:numCache>
              </c:numRef>
            </c:minus>
            <c:spPr>
              <a:noFill/>
              <a:ln w="9525" cap="flat" cmpd="sng" algn="ctr">
                <a:solidFill>
                  <a:schemeClr val="tx1">
                    <a:lumMod val="65000"/>
                    <a:lumOff val="35000"/>
                  </a:schemeClr>
                </a:solidFill>
                <a:round/>
              </a:ln>
              <a:effectLst/>
            </c:spPr>
          </c:errBars>
          <c:cat>
            <c:numRef>
              <c:f>'ASA - Diagrammer'!$A$63:$A$66</c:f>
              <c:numCache>
                <c:formatCode>General</c:formatCode>
                <c:ptCount val="4"/>
                <c:pt idx="0">
                  <c:v>3</c:v>
                </c:pt>
                <c:pt idx="1">
                  <c:v>6</c:v>
                </c:pt>
                <c:pt idx="2">
                  <c:v>9</c:v>
                </c:pt>
                <c:pt idx="3">
                  <c:v>12</c:v>
                </c:pt>
              </c:numCache>
            </c:numRef>
          </c:cat>
          <c:val>
            <c:numRef>
              <c:f>'ASA - Diagrammer'!$D$63:$D$66</c:f>
              <c:numCache>
                <c:formatCode>0.0000</c:formatCode>
                <c:ptCount val="4"/>
                <c:pt idx="0">
                  <c:v>3.0999999999999999E-3</c:v>
                </c:pt>
                <c:pt idx="1">
                  <c:v>2.8999999999999998E-3</c:v>
                </c:pt>
                <c:pt idx="2">
                  <c:v>1.1000000000000001E-3</c:v>
                </c:pt>
                <c:pt idx="3">
                  <c:v>3.3E-3</c:v>
                </c:pt>
              </c:numCache>
            </c:numRef>
          </c:val>
          <c:extLst>
            <c:ext xmlns:c16="http://schemas.microsoft.com/office/drawing/2014/chart" uri="{C3380CC4-5D6E-409C-BE32-E72D297353CC}">
              <c16:uniqueId val="{00000003-7137-40B2-88B7-47BAA0DE6FFB}"/>
            </c:ext>
          </c:extLst>
        </c:ser>
        <c:dLbls>
          <c:showLegendKey val="0"/>
          <c:showVal val="0"/>
          <c:showCatName val="0"/>
          <c:showSerName val="0"/>
          <c:showPercent val="0"/>
          <c:showBubbleSize val="0"/>
        </c:dLbls>
        <c:gapWidth val="219"/>
        <c:overlap val="-27"/>
        <c:axId val="504678128"/>
        <c:axId val="504675248"/>
        <c:extLst>
          <c:ext xmlns:c15="http://schemas.microsoft.com/office/drawing/2012/chart" uri="{02D57815-91ED-43cb-92C2-25804820EDAC}">
            <c15:filteredBarSeries>
              <c15:ser>
                <c:idx val="0"/>
                <c:order val="0"/>
                <c:tx>
                  <c:strRef>
                    <c:extLst>
                      <c:ext uri="{02D57815-91ED-43cb-92C2-25804820EDAC}">
                        <c15:formulaRef>
                          <c15:sqref>'ASA - Diagrammer'!$A$62</c15:sqref>
                        </c15:formulaRef>
                      </c:ext>
                    </c:extLst>
                    <c:strCache>
                      <c:ptCount val="1"/>
                      <c:pt idx="0">
                        <c:v>Uke</c:v>
                      </c:pt>
                    </c:strCache>
                  </c:strRef>
                </c:tx>
                <c:spPr>
                  <a:solidFill>
                    <a:schemeClr val="accent1"/>
                  </a:solidFill>
                  <a:ln>
                    <a:noFill/>
                  </a:ln>
                  <a:effectLst/>
                </c:spPr>
                <c:invertIfNegative val="0"/>
                <c:cat>
                  <c:numRef>
                    <c:extLst>
                      <c:ext uri="{02D57815-91ED-43cb-92C2-25804820EDAC}">
                        <c15:formulaRef>
                          <c15:sqref>'ASA - Diagrammer'!$A$63:$A$66</c15:sqref>
                        </c15:formulaRef>
                      </c:ext>
                    </c:extLst>
                    <c:numCache>
                      <c:formatCode>General</c:formatCode>
                      <c:ptCount val="4"/>
                      <c:pt idx="0">
                        <c:v>3</c:v>
                      </c:pt>
                      <c:pt idx="1">
                        <c:v>6</c:v>
                      </c:pt>
                      <c:pt idx="2">
                        <c:v>9</c:v>
                      </c:pt>
                      <c:pt idx="3">
                        <c:v>12</c:v>
                      </c:pt>
                    </c:numCache>
                  </c:numRef>
                </c:cat>
                <c:val>
                  <c:numRef>
                    <c:extLst>
                      <c:ext uri="{02D57815-91ED-43cb-92C2-25804820EDAC}">
                        <c15:formulaRef>
                          <c15:sqref>'ASA - Diagrammer'!$A$63:$A$66</c15:sqref>
                        </c15:formulaRef>
                      </c:ext>
                    </c:extLst>
                    <c:numCache>
                      <c:formatCode>General</c:formatCode>
                      <c:ptCount val="4"/>
                      <c:pt idx="0">
                        <c:v>3</c:v>
                      </c:pt>
                      <c:pt idx="1">
                        <c:v>6</c:v>
                      </c:pt>
                      <c:pt idx="2">
                        <c:v>9</c:v>
                      </c:pt>
                      <c:pt idx="3">
                        <c:v>12</c:v>
                      </c:pt>
                    </c:numCache>
                  </c:numRef>
                </c:val>
                <c:extLst>
                  <c:ext xmlns:c16="http://schemas.microsoft.com/office/drawing/2014/chart" uri="{C3380CC4-5D6E-409C-BE32-E72D297353CC}">
                    <c16:uniqueId val="{00000000-7137-40B2-88B7-47BAA0DE6FFB}"/>
                  </c:ext>
                </c:extLst>
              </c15:ser>
            </c15:filteredBarSeries>
          </c:ext>
        </c:extLst>
      </c:barChart>
      <c:catAx>
        <c:axId val="5046781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04675248"/>
        <c:crosses val="autoZero"/>
        <c:auto val="1"/>
        <c:lblAlgn val="ctr"/>
        <c:lblOffset val="100"/>
        <c:noMultiLvlLbl val="0"/>
      </c:catAx>
      <c:valAx>
        <c:axId val="50467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Vekt (g)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04678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Gjennomsnittlig vektendring over tid for ASA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1"/>
          <c:order val="1"/>
          <c:tx>
            <c:strRef>
              <c:f>'ASA - Diagrammer'!$B$11</c:f>
              <c:strCache>
                <c:ptCount val="1"/>
                <c:pt idx="0">
                  <c:v>20°C Tørr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'ASA - Diagrammer'!$B$22:$B$25</c:f>
                <c:numCache>
                  <c:formatCode>General</c:formatCode>
                  <c:ptCount val="4"/>
                  <c:pt idx="0">
                    <c:v>1.1799999999999554E-3</c:v>
                  </c:pt>
                  <c:pt idx="1">
                    <c:v>1.3099999999999952E-2</c:v>
                  </c:pt>
                  <c:pt idx="2">
                    <c:v>1.1899999999999914E-2</c:v>
                  </c:pt>
                  <c:pt idx="3">
                    <c:v>1.3799999999999937E-2</c:v>
                  </c:pt>
                </c:numCache>
              </c:numRef>
            </c:plus>
            <c:minus>
              <c:numRef>
                <c:f>'ASA - Diagrammer'!$C$22:$C$25</c:f>
                <c:numCache>
                  <c:formatCode>General</c:formatCode>
                  <c:ptCount val="4"/>
                  <c:pt idx="0">
                    <c:v>6.9999999999999999E-4</c:v>
                  </c:pt>
                  <c:pt idx="1">
                    <c:v>4.1999999999999191E-3</c:v>
                  </c:pt>
                  <c:pt idx="2">
                    <c:v>6.5000000000000578E-3</c:v>
                  </c:pt>
                  <c:pt idx="3">
                    <c:v>6.7000000000000254E-3</c:v>
                  </c:pt>
                </c:numCache>
              </c:numRef>
            </c:minus>
            <c:spPr>
              <a:noFill/>
              <a:ln w="9525" cap="flat" cmpd="sng" algn="ctr">
                <a:solidFill>
                  <a:schemeClr val="tx1">
                    <a:lumMod val="65000"/>
                    <a:lumOff val="35000"/>
                  </a:schemeClr>
                </a:solidFill>
                <a:round/>
              </a:ln>
              <a:effectLst/>
            </c:spPr>
          </c:errBars>
          <c:cat>
            <c:numRef>
              <c:f>'ASA - Diagrammer'!$A$12:$A$15</c:f>
              <c:numCache>
                <c:formatCode>General</c:formatCode>
                <c:ptCount val="4"/>
                <c:pt idx="0">
                  <c:v>3</c:v>
                </c:pt>
                <c:pt idx="1">
                  <c:v>6</c:v>
                </c:pt>
                <c:pt idx="2">
                  <c:v>9</c:v>
                </c:pt>
                <c:pt idx="3">
                  <c:v>12</c:v>
                </c:pt>
              </c:numCache>
            </c:numRef>
          </c:cat>
          <c:val>
            <c:numRef>
              <c:f>'ASA - Diagrammer'!$B$12:$B$15</c:f>
              <c:numCache>
                <c:formatCode>0.0000</c:formatCode>
                <c:ptCount val="4"/>
                <c:pt idx="0">
                  <c:v>1.6120000000000044E-2</c:v>
                </c:pt>
                <c:pt idx="1">
                  <c:v>2.1600000000000001E-2</c:v>
                </c:pt>
                <c:pt idx="2">
                  <c:v>2.7199999999999998E-2</c:v>
                </c:pt>
                <c:pt idx="3">
                  <c:v>2.7099999999999999E-2</c:v>
                </c:pt>
              </c:numCache>
            </c:numRef>
          </c:val>
          <c:smooth val="0"/>
          <c:extLst>
            <c:ext xmlns:c16="http://schemas.microsoft.com/office/drawing/2014/chart" uri="{C3380CC4-5D6E-409C-BE32-E72D297353CC}">
              <c16:uniqueId val="{00000001-78DC-46E8-BF2D-6B0519ABAF10}"/>
            </c:ext>
          </c:extLst>
        </c:ser>
        <c:ser>
          <c:idx val="2"/>
          <c:order val="2"/>
          <c:tx>
            <c:strRef>
              <c:f>'ASA - Diagrammer'!$C$11</c:f>
              <c:strCache>
                <c:ptCount val="1"/>
                <c:pt idx="0">
                  <c:v>20°C Våt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errBars>
            <c:errDir val="y"/>
            <c:errBarType val="both"/>
            <c:errValType val="cust"/>
            <c:noEndCap val="0"/>
            <c:plus>
              <c:numRef>
                <c:f>'ASA - Diagrammer'!$D$22:$D$25</c:f>
                <c:numCache>
                  <c:formatCode>General</c:formatCode>
                  <c:ptCount val="4"/>
                  <c:pt idx="0">
                    <c:v>8.8999999999999496E-3</c:v>
                  </c:pt>
                  <c:pt idx="1">
                    <c:v>1.4399999999999968E-2</c:v>
                  </c:pt>
                  <c:pt idx="2">
                    <c:v>2.9900000000000135E-2</c:v>
                  </c:pt>
                  <c:pt idx="3">
                    <c:v>1.3700000000000066E-2</c:v>
                  </c:pt>
                </c:numCache>
              </c:numRef>
            </c:plus>
            <c:minus>
              <c:numRef>
                <c:f>'ASA - Diagrammer'!$E$22:$E$25</c:f>
                <c:numCache>
                  <c:formatCode>General</c:formatCode>
                  <c:ptCount val="4"/>
                  <c:pt idx="0">
                    <c:v>6.6000000000001197E-3</c:v>
                  </c:pt>
                  <c:pt idx="1">
                    <c:v>1.6599999999999948E-2</c:v>
                  </c:pt>
                  <c:pt idx="2">
                    <c:v>1.9200000000000009E-2</c:v>
                  </c:pt>
                  <c:pt idx="3">
                    <c:v>1.1800000000000012E-2</c:v>
                  </c:pt>
                </c:numCache>
              </c:numRef>
            </c:minus>
            <c:spPr>
              <a:noFill/>
              <a:ln w="9525" cap="flat" cmpd="sng" algn="ctr">
                <a:solidFill>
                  <a:schemeClr val="tx1">
                    <a:lumMod val="65000"/>
                    <a:lumOff val="35000"/>
                  </a:schemeClr>
                </a:solidFill>
                <a:round/>
              </a:ln>
              <a:effectLst/>
            </c:spPr>
          </c:errBars>
          <c:cat>
            <c:numRef>
              <c:f>'ASA - Diagrammer'!$A$12:$A$15</c:f>
              <c:numCache>
                <c:formatCode>General</c:formatCode>
                <c:ptCount val="4"/>
                <c:pt idx="0">
                  <c:v>3</c:v>
                </c:pt>
                <c:pt idx="1">
                  <c:v>6</c:v>
                </c:pt>
                <c:pt idx="2">
                  <c:v>9</c:v>
                </c:pt>
                <c:pt idx="3">
                  <c:v>12</c:v>
                </c:pt>
              </c:numCache>
            </c:numRef>
          </c:cat>
          <c:val>
            <c:numRef>
              <c:f>'ASA - Diagrammer'!$C$12:$C$15</c:f>
              <c:numCache>
                <c:formatCode>0.0000</c:formatCode>
                <c:ptCount val="4"/>
                <c:pt idx="0">
                  <c:v>2.18E-2</c:v>
                </c:pt>
                <c:pt idx="1">
                  <c:v>3.6299999999999999E-2</c:v>
                </c:pt>
                <c:pt idx="2">
                  <c:v>3.5400000000000001E-2</c:v>
                </c:pt>
                <c:pt idx="3">
                  <c:v>3.4099999999999998E-2</c:v>
                </c:pt>
              </c:numCache>
            </c:numRef>
          </c:val>
          <c:smooth val="0"/>
          <c:extLst>
            <c:ext xmlns:c16="http://schemas.microsoft.com/office/drawing/2014/chart" uri="{C3380CC4-5D6E-409C-BE32-E72D297353CC}">
              <c16:uniqueId val="{00000002-78DC-46E8-BF2D-6B0519ABAF10}"/>
            </c:ext>
          </c:extLst>
        </c:ser>
        <c:ser>
          <c:idx val="3"/>
          <c:order val="3"/>
          <c:tx>
            <c:strRef>
              <c:f>'ASA - Diagrammer'!$D$11</c:f>
              <c:strCache>
                <c:ptCount val="1"/>
                <c:pt idx="0">
                  <c:v>40°C Tørr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errBars>
            <c:errDir val="y"/>
            <c:errBarType val="both"/>
            <c:errValType val="cust"/>
            <c:noEndCap val="0"/>
            <c:plus>
              <c:numRef>
                <c:f>'ASA - Diagrammer'!$F$22:$F$25</c:f>
                <c:numCache>
                  <c:formatCode>General</c:formatCode>
                  <c:ptCount val="4"/>
                  <c:pt idx="0">
                    <c:v>1.0600000000000172E-2</c:v>
                  </c:pt>
                  <c:pt idx="1">
                    <c:v>3.200000000000161E-3</c:v>
                  </c:pt>
                  <c:pt idx="2">
                    <c:v>1.0199999999999813E-2</c:v>
                  </c:pt>
                  <c:pt idx="3">
                    <c:v>1.8699999999999953E-2</c:v>
                  </c:pt>
                </c:numCache>
              </c:numRef>
            </c:plus>
            <c:minus>
              <c:numRef>
                <c:f>'ASA - Diagrammer'!$G$22:$G$25</c:f>
                <c:numCache>
                  <c:formatCode>General</c:formatCode>
                  <c:ptCount val="4"/>
                  <c:pt idx="0">
                    <c:v>1.1099999999999881E-2</c:v>
                  </c:pt>
                  <c:pt idx="1">
                    <c:v>7.4999999999999928E-3</c:v>
                  </c:pt>
                  <c:pt idx="2">
                    <c:v>6.3000000000001458E-3</c:v>
                  </c:pt>
                  <c:pt idx="3">
                    <c:v>1.6099999999999989E-2</c:v>
                  </c:pt>
                </c:numCache>
              </c:numRef>
            </c:minus>
            <c:spPr>
              <a:noFill/>
              <a:ln w="9525" cap="flat" cmpd="sng" algn="ctr">
                <a:solidFill>
                  <a:schemeClr val="tx1">
                    <a:lumMod val="65000"/>
                    <a:lumOff val="35000"/>
                  </a:schemeClr>
                </a:solidFill>
                <a:round/>
              </a:ln>
              <a:effectLst/>
            </c:spPr>
          </c:errBars>
          <c:cat>
            <c:numRef>
              <c:f>'ASA - Diagrammer'!$A$12:$A$15</c:f>
              <c:numCache>
                <c:formatCode>General</c:formatCode>
                <c:ptCount val="4"/>
                <c:pt idx="0">
                  <c:v>3</c:v>
                </c:pt>
                <c:pt idx="1">
                  <c:v>6</c:v>
                </c:pt>
                <c:pt idx="2">
                  <c:v>9</c:v>
                </c:pt>
                <c:pt idx="3">
                  <c:v>12</c:v>
                </c:pt>
              </c:numCache>
            </c:numRef>
          </c:cat>
          <c:val>
            <c:numRef>
              <c:f>'ASA - Diagrammer'!$D$12:$D$15</c:f>
              <c:numCache>
                <c:formatCode>0.0000</c:formatCode>
                <c:ptCount val="4"/>
                <c:pt idx="0">
                  <c:v>4.6300000000000001E-2</c:v>
                </c:pt>
                <c:pt idx="1">
                  <c:v>5.3800000000000001E-2</c:v>
                </c:pt>
                <c:pt idx="2">
                  <c:v>5.6000000000000001E-2</c:v>
                </c:pt>
                <c:pt idx="3">
                  <c:v>5.2299999999999999E-2</c:v>
                </c:pt>
              </c:numCache>
            </c:numRef>
          </c:val>
          <c:smooth val="0"/>
          <c:extLst>
            <c:ext xmlns:c16="http://schemas.microsoft.com/office/drawing/2014/chart" uri="{C3380CC4-5D6E-409C-BE32-E72D297353CC}">
              <c16:uniqueId val="{00000003-78DC-46E8-BF2D-6B0519ABAF10}"/>
            </c:ext>
          </c:extLst>
        </c:ser>
        <c:ser>
          <c:idx val="4"/>
          <c:order val="4"/>
          <c:tx>
            <c:strRef>
              <c:f>'ASA - Diagrammer'!$E$11</c:f>
              <c:strCache>
                <c:ptCount val="1"/>
                <c:pt idx="0">
                  <c:v>40°C Våt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errBars>
            <c:errDir val="y"/>
            <c:errBarType val="both"/>
            <c:errValType val="cust"/>
            <c:noEndCap val="0"/>
            <c:plus>
              <c:numRef>
                <c:f>'ASA - Diagrammer'!$H$22:$H$25</c:f>
                <c:numCache>
                  <c:formatCode>General</c:formatCode>
                  <c:ptCount val="4"/>
                  <c:pt idx="0">
                    <c:v>9.7000000000002154E-3</c:v>
                  </c:pt>
                  <c:pt idx="1">
                    <c:v>1.2080000000000091E-2</c:v>
                  </c:pt>
                  <c:pt idx="2">
                    <c:v>1.5200000000000109E-2</c:v>
                  </c:pt>
                  <c:pt idx="3">
                    <c:v>6.1399999999999927E-3</c:v>
                  </c:pt>
                </c:numCache>
              </c:numRef>
            </c:plus>
            <c:minus>
              <c:numRef>
                <c:f>'ASA - Diagrammer'!$I$22:$I$25</c:f>
                <c:numCache>
                  <c:formatCode>General</c:formatCode>
                  <c:ptCount val="4"/>
                  <c:pt idx="0">
                    <c:v>3.4999999999998851E-3</c:v>
                  </c:pt>
                  <c:pt idx="1">
                    <c:v>1.7820000000000169E-2</c:v>
                  </c:pt>
                  <c:pt idx="2">
                    <c:v>1.2800000000000138E-2</c:v>
                  </c:pt>
                  <c:pt idx="3">
                    <c:v>1.1559999999999834E-2</c:v>
                  </c:pt>
                </c:numCache>
              </c:numRef>
            </c:minus>
            <c:spPr>
              <a:noFill/>
              <a:ln w="9525" cap="flat" cmpd="sng" algn="ctr">
                <a:solidFill>
                  <a:schemeClr val="tx1">
                    <a:lumMod val="65000"/>
                    <a:lumOff val="35000"/>
                  </a:schemeClr>
                </a:solidFill>
                <a:round/>
              </a:ln>
              <a:effectLst/>
            </c:spPr>
          </c:errBars>
          <c:cat>
            <c:numRef>
              <c:f>'ASA - Diagrammer'!$A$12:$A$15</c:f>
              <c:numCache>
                <c:formatCode>General</c:formatCode>
                <c:ptCount val="4"/>
                <c:pt idx="0">
                  <c:v>3</c:v>
                </c:pt>
                <c:pt idx="1">
                  <c:v>6</c:v>
                </c:pt>
                <c:pt idx="2">
                  <c:v>9</c:v>
                </c:pt>
                <c:pt idx="3">
                  <c:v>12</c:v>
                </c:pt>
              </c:numCache>
            </c:numRef>
          </c:cat>
          <c:val>
            <c:numRef>
              <c:f>'ASA - Diagrammer'!$E$12:$E$15</c:f>
              <c:numCache>
                <c:formatCode>0.0000</c:formatCode>
                <c:ptCount val="4"/>
                <c:pt idx="0">
                  <c:v>1.8599999999999998E-2</c:v>
                </c:pt>
                <c:pt idx="1">
                  <c:v>6.581999999999999E-2</c:v>
                </c:pt>
                <c:pt idx="2">
                  <c:v>4.6300000000000001E-2</c:v>
                </c:pt>
                <c:pt idx="3">
                  <c:v>5.826000000000002E-2</c:v>
                </c:pt>
              </c:numCache>
            </c:numRef>
          </c:val>
          <c:smooth val="0"/>
          <c:extLst>
            <c:ext xmlns:c16="http://schemas.microsoft.com/office/drawing/2014/chart" uri="{C3380CC4-5D6E-409C-BE32-E72D297353CC}">
              <c16:uniqueId val="{00000004-78DC-46E8-BF2D-6B0519ABAF10}"/>
            </c:ext>
          </c:extLst>
        </c:ser>
        <c:ser>
          <c:idx val="5"/>
          <c:order val="5"/>
          <c:tx>
            <c:strRef>
              <c:f>'ASA - Diagrammer'!$F$11</c:f>
              <c:strCache>
                <c:ptCount val="1"/>
                <c:pt idx="0">
                  <c:v>60°C Tørr</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errBars>
            <c:errDir val="y"/>
            <c:errBarType val="both"/>
            <c:errValType val="cust"/>
            <c:noEndCap val="0"/>
            <c:plus>
              <c:numRef>
                <c:f>'ASA - Diagrammer'!$J$22:$J$25</c:f>
                <c:numCache>
                  <c:formatCode>General</c:formatCode>
                  <c:ptCount val="4"/>
                  <c:pt idx="0">
                    <c:v>1.8860000000000054E-2</c:v>
                  </c:pt>
                  <c:pt idx="1">
                    <c:v>1.422000000000008E-2</c:v>
                  </c:pt>
                  <c:pt idx="2">
                    <c:v>2.0299999999999908E-2</c:v>
                  </c:pt>
                  <c:pt idx="3">
                    <c:v>1.0300000000000017E-2</c:v>
                  </c:pt>
                </c:numCache>
              </c:numRef>
            </c:plus>
            <c:minus>
              <c:numRef>
                <c:f>'ASA - Diagrammer'!$K$22:$K$25</c:f>
                <c:numCache>
                  <c:formatCode>General</c:formatCode>
                  <c:ptCount val="4"/>
                  <c:pt idx="0">
                    <c:v>9.3400000000001711E-3</c:v>
                  </c:pt>
                  <c:pt idx="1">
                    <c:v>9.5799999999999635E-3</c:v>
                  </c:pt>
                  <c:pt idx="2">
                    <c:v>1.7399999999999936E-2</c:v>
                  </c:pt>
                  <c:pt idx="3">
                    <c:v>1.2500000000000136E-2</c:v>
                  </c:pt>
                </c:numCache>
              </c:numRef>
            </c:minus>
            <c:spPr>
              <a:noFill/>
              <a:ln w="9525" cap="flat" cmpd="sng" algn="ctr">
                <a:solidFill>
                  <a:schemeClr val="tx1">
                    <a:lumMod val="65000"/>
                    <a:lumOff val="35000"/>
                  </a:schemeClr>
                </a:solidFill>
                <a:round/>
              </a:ln>
              <a:effectLst/>
            </c:spPr>
          </c:errBars>
          <c:cat>
            <c:numRef>
              <c:f>'ASA - Diagrammer'!$A$12:$A$15</c:f>
              <c:numCache>
                <c:formatCode>General</c:formatCode>
                <c:ptCount val="4"/>
                <c:pt idx="0">
                  <c:v>3</c:v>
                </c:pt>
                <c:pt idx="1">
                  <c:v>6</c:v>
                </c:pt>
                <c:pt idx="2">
                  <c:v>9</c:v>
                </c:pt>
                <c:pt idx="3">
                  <c:v>12</c:v>
                </c:pt>
              </c:numCache>
            </c:numRef>
          </c:cat>
          <c:val>
            <c:numRef>
              <c:f>'ASA - Diagrammer'!$F$12:$F$15</c:f>
              <c:numCache>
                <c:formatCode>0.0000</c:formatCode>
                <c:ptCount val="4"/>
                <c:pt idx="0">
                  <c:v>2.2740000000000028E-2</c:v>
                </c:pt>
                <c:pt idx="1">
                  <c:v>5.7779999999999984E-2</c:v>
                </c:pt>
                <c:pt idx="2">
                  <c:v>5.11E-2</c:v>
                </c:pt>
                <c:pt idx="3">
                  <c:v>6.0399999999999968E-2</c:v>
                </c:pt>
              </c:numCache>
            </c:numRef>
          </c:val>
          <c:smooth val="0"/>
          <c:extLst>
            <c:ext xmlns:c16="http://schemas.microsoft.com/office/drawing/2014/chart" uri="{C3380CC4-5D6E-409C-BE32-E72D297353CC}">
              <c16:uniqueId val="{00000005-78DC-46E8-BF2D-6B0519ABAF10}"/>
            </c:ext>
          </c:extLst>
        </c:ser>
        <c:ser>
          <c:idx val="6"/>
          <c:order val="6"/>
          <c:tx>
            <c:strRef>
              <c:f>'ASA - Diagrammer'!$G$11</c:f>
              <c:strCache>
                <c:ptCount val="1"/>
                <c:pt idx="0">
                  <c:v>60°C Våt</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errBars>
            <c:errDir val="y"/>
            <c:errBarType val="both"/>
            <c:errValType val="cust"/>
            <c:noEndCap val="0"/>
            <c:plus>
              <c:numRef>
                <c:f>'ASA - Diagrammer'!$L$22:$L$25</c:f>
                <c:numCache>
                  <c:formatCode>General</c:formatCode>
                  <c:ptCount val="4"/>
                  <c:pt idx="0">
                    <c:v>8.23999999999998E-3</c:v>
                  </c:pt>
                  <c:pt idx="1">
                    <c:v>7.3800000000000324E-3</c:v>
                  </c:pt>
                  <c:pt idx="2">
                    <c:v>1.6620000000000038E-2</c:v>
                  </c:pt>
                  <c:pt idx="3">
                    <c:v>1.2619999999999992E-2</c:v>
                  </c:pt>
                </c:numCache>
              </c:numRef>
            </c:plus>
            <c:minus>
              <c:numRef>
                <c:f>'ASA - Diagrammer'!$M$22:$M$25</c:f>
                <c:numCache>
                  <c:formatCode>General</c:formatCode>
                  <c:ptCount val="4"/>
                  <c:pt idx="0">
                    <c:v>4.5599999999999426E-3</c:v>
                  </c:pt>
                  <c:pt idx="1">
                    <c:v>1.4220000000000031E-2</c:v>
                  </c:pt>
                  <c:pt idx="2">
                    <c:v>1.0580000000000075E-2</c:v>
                  </c:pt>
                  <c:pt idx="3">
                    <c:v>1.3179999999999831E-2</c:v>
                  </c:pt>
                </c:numCache>
              </c:numRef>
            </c:minus>
            <c:spPr>
              <a:noFill/>
              <a:ln w="9525" cap="flat" cmpd="sng" algn="ctr">
                <a:solidFill>
                  <a:schemeClr val="tx1">
                    <a:lumMod val="65000"/>
                    <a:lumOff val="35000"/>
                  </a:schemeClr>
                </a:solidFill>
                <a:round/>
              </a:ln>
              <a:effectLst/>
            </c:spPr>
          </c:errBars>
          <c:cat>
            <c:numRef>
              <c:f>'ASA - Diagrammer'!$A$12:$A$15</c:f>
              <c:numCache>
                <c:formatCode>General</c:formatCode>
                <c:ptCount val="4"/>
                <c:pt idx="0">
                  <c:v>3</c:v>
                </c:pt>
                <c:pt idx="1">
                  <c:v>6</c:v>
                </c:pt>
                <c:pt idx="2">
                  <c:v>9</c:v>
                </c:pt>
                <c:pt idx="3">
                  <c:v>12</c:v>
                </c:pt>
              </c:numCache>
            </c:numRef>
          </c:cat>
          <c:val>
            <c:numRef>
              <c:f>'ASA - Diagrammer'!$G$12:$G$15</c:f>
              <c:numCache>
                <c:formatCode>0.0000</c:formatCode>
                <c:ptCount val="4"/>
                <c:pt idx="0">
                  <c:v>2.2359999999999981E-2</c:v>
                </c:pt>
                <c:pt idx="1">
                  <c:v>6.0320000000000061E-2</c:v>
                </c:pt>
                <c:pt idx="2">
                  <c:v>4.3180000000000038E-2</c:v>
                </c:pt>
                <c:pt idx="3">
                  <c:v>6.608E-2</c:v>
                </c:pt>
              </c:numCache>
            </c:numRef>
          </c:val>
          <c:smooth val="0"/>
          <c:extLst>
            <c:ext xmlns:c16="http://schemas.microsoft.com/office/drawing/2014/chart" uri="{C3380CC4-5D6E-409C-BE32-E72D297353CC}">
              <c16:uniqueId val="{00000006-78DC-46E8-BF2D-6B0519ABAF10}"/>
            </c:ext>
          </c:extLst>
        </c:ser>
        <c:dLbls>
          <c:showLegendKey val="0"/>
          <c:showVal val="0"/>
          <c:showCatName val="0"/>
          <c:showSerName val="0"/>
          <c:showPercent val="0"/>
          <c:showBubbleSize val="0"/>
        </c:dLbls>
        <c:marker val="1"/>
        <c:smooth val="0"/>
        <c:axId val="99872527"/>
        <c:axId val="99862927"/>
        <c:extLst>
          <c:ext xmlns:c15="http://schemas.microsoft.com/office/drawing/2012/chart" uri="{02D57815-91ED-43cb-92C2-25804820EDAC}">
            <c15:filteredLineSeries>
              <c15:ser>
                <c:idx val="0"/>
                <c:order val="0"/>
                <c:tx>
                  <c:strRef>
                    <c:extLst>
                      <c:ext uri="{02D57815-91ED-43cb-92C2-25804820EDAC}">
                        <c15:formulaRef>
                          <c15:sqref>'ASA - Diagrammer'!$A$11</c15:sqref>
                        </c15:formulaRef>
                      </c:ext>
                    </c:extLst>
                    <c:strCache>
                      <c:ptCount val="1"/>
                      <c:pt idx="0">
                        <c:v>Uke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'ASA - Diagrammer'!$A$12:$A$15</c15:sqref>
                        </c15:formulaRef>
                      </c:ext>
                    </c:extLst>
                    <c:numCache>
                      <c:formatCode>General</c:formatCode>
                      <c:ptCount val="4"/>
                      <c:pt idx="0">
                        <c:v>3</c:v>
                      </c:pt>
                      <c:pt idx="1">
                        <c:v>6</c:v>
                      </c:pt>
                      <c:pt idx="2">
                        <c:v>9</c:v>
                      </c:pt>
                      <c:pt idx="3">
                        <c:v>12</c:v>
                      </c:pt>
                    </c:numCache>
                  </c:numRef>
                </c:cat>
                <c:val>
                  <c:numRef>
                    <c:extLst>
                      <c:ext uri="{02D57815-91ED-43cb-92C2-25804820EDAC}">
                        <c15:formulaRef>
                          <c15:sqref>'ASA - Diagrammer'!$A$12:$A$15</c15:sqref>
                        </c15:formulaRef>
                      </c:ext>
                    </c:extLst>
                    <c:numCache>
                      <c:formatCode>General</c:formatCode>
                      <c:ptCount val="4"/>
                      <c:pt idx="0">
                        <c:v>3</c:v>
                      </c:pt>
                      <c:pt idx="1">
                        <c:v>6</c:v>
                      </c:pt>
                      <c:pt idx="2">
                        <c:v>9</c:v>
                      </c:pt>
                      <c:pt idx="3">
                        <c:v>12</c:v>
                      </c:pt>
                    </c:numCache>
                  </c:numRef>
                </c:val>
                <c:smooth val="0"/>
                <c:extLst>
                  <c:ext xmlns:c16="http://schemas.microsoft.com/office/drawing/2014/chart" uri="{C3380CC4-5D6E-409C-BE32-E72D297353CC}">
                    <c16:uniqueId val="{00000000-78DC-46E8-BF2D-6B0519ABAF10}"/>
                  </c:ext>
                </c:extLst>
              </c15:ser>
            </c15:filteredLineSeries>
          </c:ext>
        </c:extLst>
      </c:lineChart>
      <c:catAx>
        <c:axId val="99872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9862927"/>
        <c:crosses val="autoZero"/>
        <c:auto val="1"/>
        <c:lblAlgn val="ctr"/>
        <c:lblOffset val="100"/>
        <c:noMultiLvlLbl val="0"/>
      </c:catAx>
      <c:valAx>
        <c:axId val="99862927"/>
        <c:scaling>
          <c:orientation val="minMax"/>
          <c:max val="8.0000000000000016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Vekt (g)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9872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400" b="0" i="0" u="none" strike="noStrike" baseline="0"/>
              <a:t>Andel av vektopptak som ble værende etter tørking for ASA</a:t>
            </a: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0"/>
          <c:order val="0"/>
          <c:tx>
            <c:strRef>
              <c:f>'ASA - Prosent'!$B$21:$B$21</c:f>
              <c:strCache>
                <c:ptCount val="1"/>
                <c:pt idx="0">
                  <c:v> 20°C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'ASA - Prosent'!$A$22:$A$25</c:f>
              <c:numCache>
                <c:formatCode>General</c:formatCode>
                <c:ptCount val="4"/>
                <c:pt idx="0">
                  <c:v>3</c:v>
                </c:pt>
                <c:pt idx="1">
                  <c:v>6</c:v>
                </c:pt>
                <c:pt idx="2">
                  <c:v>9</c:v>
                </c:pt>
                <c:pt idx="3">
                  <c:v>12</c:v>
                </c:pt>
              </c:numCache>
            </c:numRef>
          </c:cat>
          <c:val>
            <c:numRef>
              <c:f>'ASA - Prosent'!$B$22:$B$25</c:f>
              <c:numCache>
                <c:formatCode>0.00%</c:formatCode>
                <c:ptCount val="4"/>
                <c:pt idx="0">
                  <c:v>6.8238213399503533E-2</c:v>
                </c:pt>
                <c:pt idx="1">
                  <c:v>0.12014787430683911</c:v>
                </c:pt>
                <c:pt idx="2">
                  <c:v>0</c:v>
                </c:pt>
                <c:pt idx="3">
                  <c:v>5.5350553505535055E-2</c:v>
                </c:pt>
              </c:numCache>
            </c:numRef>
          </c:val>
          <c:smooth val="0"/>
          <c:extLst>
            <c:ext xmlns:c16="http://schemas.microsoft.com/office/drawing/2014/chart" uri="{C3380CC4-5D6E-409C-BE32-E72D297353CC}">
              <c16:uniqueId val="{00000004-CEE3-4316-B332-C765396C5209}"/>
            </c:ext>
          </c:extLst>
        </c:ser>
        <c:ser>
          <c:idx val="1"/>
          <c:order val="1"/>
          <c:tx>
            <c:strRef>
              <c:f>'ASA - Prosent'!$C$21:$C$21</c:f>
              <c:strCache>
                <c:ptCount val="1"/>
                <c:pt idx="0">
                  <c:v> 40°C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'ASA - Prosent'!$A$22:$A$25</c:f>
              <c:numCache>
                <c:formatCode>General</c:formatCode>
                <c:ptCount val="4"/>
                <c:pt idx="0">
                  <c:v>3</c:v>
                </c:pt>
                <c:pt idx="1">
                  <c:v>6</c:v>
                </c:pt>
                <c:pt idx="2">
                  <c:v>9</c:v>
                </c:pt>
                <c:pt idx="3">
                  <c:v>12</c:v>
                </c:pt>
              </c:numCache>
            </c:numRef>
          </c:cat>
          <c:val>
            <c:numRef>
              <c:f>'ASA - Prosent'!$C$22:$C$25</c:f>
              <c:numCache>
                <c:formatCode>0.00%</c:formatCode>
                <c:ptCount val="4"/>
                <c:pt idx="0">
                  <c:v>9.2872570194384441E-2</c:v>
                </c:pt>
                <c:pt idx="1">
                  <c:v>-5.5762081784386614E-3</c:v>
                </c:pt>
                <c:pt idx="2">
                  <c:v>8.3928571428571436E-2</c:v>
                </c:pt>
                <c:pt idx="3">
                  <c:v>6.8833652007648183E-2</c:v>
                </c:pt>
              </c:numCache>
            </c:numRef>
          </c:val>
          <c:smooth val="0"/>
          <c:extLst>
            <c:ext xmlns:c16="http://schemas.microsoft.com/office/drawing/2014/chart" uri="{C3380CC4-5D6E-409C-BE32-E72D297353CC}">
              <c16:uniqueId val="{00000005-CEE3-4316-B332-C765396C5209}"/>
            </c:ext>
          </c:extLst>
        </c:ser>
        <c:ser>
          <c:idx val="2"/>
          <c:order val="2"/>
          <c:tx>
            <c:strRef>
              <c:f>'ASA - Prosent'!$D$21:$D$21</c:f>
              <c:strCache>
                <c:ptCount val="1"/>
                <c:pt idx="0">
                  <c:v>60°C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'ASA - Prosent'!$A$22:$A$25</c:f>
              <c:numCache>
                <c:formatCode>General</c:formatCode>
                <c:ptCount val="4"/>
                <c:pt idx="0">
                  <c:v>3</c:v>
                </c:pt>
                <c:pt idx="1">
                  <c:v>6</c:v>
                </c:pt>
                <c:pt idx="2">
                  <c:v>9</c:v>
                </c:pt>
                <c:pt idx="3">
                  <c:v>12</c:v>
                </c:pt>
              </c:numCache>
            </c:numRef>
          </c:cat>
          <c:val>
            <c:numRef>
              <c:f>'ASA - Prosent'!$D$22:$D$25</c:f>
              <c:numCache>
                <c:formatCode>0.00%</c:formatCode>
                <c:ptCount val="4"/>
                <c:pt idx="0">
                  <c:v>0.13656387665198236</c:v>
                </c:pt>
                <c:pt idx="1">
                  <c:v>5.0173010380622836E-2</c:v>
                </c:pt>
                <c:pt idx="2">
                  <c:v>2.1526418786692762E-2</c:v>
                </c:pt>
                <c:pt idx="3">
                  <c:v>5.4635761589403968E-2</c:v>
                </c:pt>
              </c:numCache>
            </c:numRef>
          </c:val>
          <c:smooth val="0"/>
          <c:extLst>
            <c:ext xmlns:c16="http://schemas.microsoft.com/office/drawing/2014/chart" uri="{C3380CC4-5D6E-409C-BE32-E72D297353CC}">
              <c16:uniqueId val="{00000006-CEE3-4316-B332-C765396C5209}"/>
            </c:ext>
          </c:extLst>
        </c:ser>
        <c:dLbls>
          <c:showLegendKey val="0"/>
          <c:showVal val="0"/>
          <c:showCatName val="0"/>
          <c:showSerName val="0"/>
          <c:showPercent val="0"/>
          <c:showBubbleSize val="0"/>
        </c:dLbls>
        <c:marker val="1"/>
        <c:smooth val="0"/>
        <c:axId val="1906310304"/>
        <c:axId val="1906305024"/>
      </c:lineChart>
      <c:catAx>
        <c:axId val="1906310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06305024"/>
        <c:crosses val="autoZero"/>
        <c:auto val="1"/>
        <c:lblAlgn val="ctr"/>
        <c:lblOffset val="100"/>
        <c:noMultiLvlLbl val="0"/>
      </c:catAx>
      <c:valAx>
        <c:axId val="1906305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Andel vektopptak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0631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400" b="0" i="0" u="none" strike="noStrike" baseline="0"/>
              <a:t>Andel av vektopptak som ble værende etter tørking for ASA</a:t>
            </a: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0"/>
          <c:order val="0"/>
          <c:tx>
            <c:strRef>
              <c:f>'ASA - Prosent'!$B$21</c:f>
              <c:strCache>
                <c:ptCount val="1"/>
                <c:pt idx="0">
                  <c:v> 20°C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'ASA - Prosent'!$A$22:$A$25</c:f>
              <c:numCache>
                <c:formatCode>General</c:formatCode>
                <c:ptCount val="4"/>
                <c:pt idx="0">
                  <c:v>3</c:v>
                </c:pt>
                <c:pt idx="1">
                  <c:v>6</c:v>
                </c:pt>
                <c:pt idx="2">
                  <c:v>9</c:v>
                </c:pt>
                <c:pt idx="3">
                  <c:v>12</c:v>
                </c:pt>
              </c:numCache>
            </c:numRef>
          </c:cat>
          <c:val>
            <c:numRef>
              <c:f>'ASA - Prosent'!$B$22:$B$25</c:f>
              <c:numCache>
                <c:formatCode>0.00%</c:formatCode>
                <c:ptCount val="4"/>
                <c:pt idx="0">
                  <c:v>6.8238213399503533E-2</c:v>
                </c:pt>
                <c:pt idx="1">
                  <c:v>0.12014787430683911</c:v>
                </c:pt>
                <c:pt idx="2">
                  <c:v>0</c:v>
                </c:pt>
                <c:pt idx="3">
                  <c:v>5.5350553505535055E-2</c:v>
                </c:pt>
              </c:numCache>
            </c:numRef>
          </c:val>
          <c:smooth val="0"/>
          <c:extLst>
            <c:ext xmlns:c16="http://schemas.microsoft.com/office/drawing/2014/chart" uri="{C3380CC4-5D6E-409C-BE32-E72D297353CC}">
              <c16:uniqueId val="{00000000-5B79-477F-9304-F09B9DBB14B6}"/>
            </c:ext>
          </c:extLst>
        </c:ser>
        <c:ser>
          <c:idx val="1"/>
          <c:order val="1"/>
          <c:tx>
            <c:strRef>
              <c:f>'ASA - Prosent'!$C$21</c:f>
              <c:strCache>
                <c:ptCount val="1"/>
                <c:pt idx="0">
                  <c:v> 40°C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'ASA - Prosent'!$A$22:$A$25</c:f>
              <c:numCache>
                <c:formatCode>General</c:formatCode>
                <c:ptCount val="4"/>
                <c:pt idx="0">
                  <c:v>3</c:v>
                </c:pt>
                <c:pt idx="1">
                  <c:v>6</c:v>
                </c:pt>
                <c:pt idx="2">
                  <c:v>9</c:v>
                </c:pt>
                <c:pt idx="3">
                  <c:v>12</c:v>
                </c:pt>
              </c:numCache>
            </c:numRef>
          </c:cat>
          <c:val>
            <c:numRef>
              <c:f>'ASA - Prosent'!$C$22:$C$25</c:f>
              <c:numCache>
                <c:formatCode>0.00%</c:formatCode>
                <c:ptCount val="4"/>
                <c:pt idx="0">
                  <c:v>9.2872570194384441E-2</c:v>
                </c:pt>
                <c:pt idx="1">
                  <c:v>-5.5762081784386614E-3</c:v>
                </c:pt>
                <c:pt idx="2">
                  <c:v>8.3928571428571436E-2</c:v>
                </c:pt>
                <c:pt idx="3">
                  <c:v>6.8833652007648183E-2</c:v>
                </c:pt>
              </c:numCache>
            </c:numRef>
          </c:val>
          <c:smooth val="0"/>
          <c:extLst>
            <c:ext xmlns:c16="http://schemas.microsoft.com/office/drawing/2014/chart" uri="{C3380CC4-5D6E-409C-BE32-E72D297353CC}">
              <c16:uniqueId val="{00000001-5B79-477F-9304-F09B9DBB14B6}"/>
            </c:ext>
          </c:extLst>
        </c:ser>
        <c:ser>
          <c:idx val="2"/>
          <c:order val="2"/>
          <c:tx>
            <c:strRef>
              <c:f>'ASA - Prosent'!$D$21</c:f>
              <c:strCache>
                <c:ptCount val="1"/>
                <c:pt idx="0">
                  <c:v>60°C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'ASA - Prosent'!$A$22:$A$25</c:f>
              <c:numCache>
                <c:formatCode>General</c:formatCode>
                <c:ptCount val="4"/>
                <c:pt idx="0">
                  <c:v>3</c:v>
                </c:pt>
                <c:pt idx="1">
                  <c:v>6</c:v>
                </c:pt>
                <c:pt idx="2">
                  <c:v>9</c:v>
                </c:pt>
                <c:pt idx="3">
                  <c:v>12</c:v>
                </c:pt>
              </c:numCache>
            </c:numRef>
          </c:cat>
          <c:val>
            <c:numRef>
              <c:f>'ASA - Prosent'!$D$22:$D$25</c:f>
              <c:numCache>
                <c:formatCode>0.00%</c:formatCode>
                <c:ptCount val="4"/>
                <c:pt idx="0">
                  <c:v>0.13656387665198236</c:v>
                </c:pt>
                <c:pt idx="1">
                  <c:v>5.0173010380622836E-2</c:v>
                </c:pt>
                <c:pt idx="2">
                  <c:v>2.1526418786692762E-2</c:v>
                </c:pt>
                <c:pt idx="3">
                  <c:v>5.4635761589403968E-2</c:v>
                </c:pt>
              </c:numCache>
            </c:numRef>
          </c:val>
          <c:smooth val="0"/>
          <c:extLst>
            <c:ext xmlns:c16="http://schemas.microsoft.com/office/drawing/2014/chart" uri="{C3380CC4-5D6E-409C-BE32-E72D297353CC}">
              <c16:uniqueId val="{00000002-5B79-477F-9304-F09B9DBB14B6}"/>
            </c:ext>
          </c:extLst>
        </c:ser>
        <c:dLbls>
          <c:showLegendKey val="0"/>
          <c:showVal val="0"/>
          <c:showCatName val="0"/>
          <c:showSerName val="0"/>
          <c:showPercent val="0"/>
          <c:showBubbleSize val="0"/>
        </c:dLbls>
        <c:marker val="1"/>
        <c:smooth val="0"/>
        <c:axId val="1906310304"/>
        <c:axId val="1906305024"/>
      </c:lineChart>
      <c:catAx>
        <c:axId val="1906310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06305024"/>
        <c:crosses val="autoZero"/>
        <c:auto val="1"/>
        <c:lblAlgn val="ctr"/>
        <c:lblOffset val="100"/>
        <c:noMultiLvlLbl val="0"/>
      </c:catAx>
      <c:valAx>
        <c:axId val="1906305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Andel vektopptak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0631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400" b="0" i="0" u="none" strike="noStrike" kern="1200" spc="0" baseline="0">
                <a:solidFill>
                  <a:sysClr val="windowText" lastClr="000000">
                    <a:lumMod val="65000"/>
                    <a:lumOff val="35000"/>
                  </a:sysClr>
                </a:solidFill>
              </a:rPr>
              <a:t>Andel av vektopptak som ble værende etter tørking for PETG</a:t>
            </a:r>
          </a:p>
        </c:rich>
      </c:tx>
      <c:layout>
        <c:manualLayout>
          <c:xMode val="edge"/>
          <c:yMode val="edge"/>
          <c:x val="0.23424878932386972"/>
          <c:y val="1.57232704402515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1"/>
          <c:order val="1"/>
          <c:tx>
            <c:strRef>
              <c:f>'PETG - Prosent'!$B$21</c:f>
              <c:strCache>
                <c:ptCount val="1"/>
                <c:pt idx="0">
                  <c:v> 20°C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'PETG - Prosent'!$A$22:$A$25</c:f>
              <c:numCache>
                <c:formatCode>General</c:formatCode>
                <c:ptCount val="4"/>
                <c:pt idx="0">
                  <c:v>3</c:v>
                </c:pt>
                <c:pt idx="1">
                  <c:v>6</c:v>
                </c:pt>
                <c:pt idx="2">
                  <c:v>9</c:v>
                </c:pt>
                <c:pt idx="3">
                  <c:v>12</c:v>
                </c:pt>
              </c:numCache>
            </c:numRef>
          </c:cat>
          <c:val>
            <c:numRef>
              <c:f>'PETG - Prosent'!$B$22:$B$25</c:f>
              <c:numCache>
                <c:formatCode>0.00%</c:formatCode>
                <c:ptCount val="4"/>
                <c:pt idx="0">
                  <c:v>0.30705394190871371</c:v>
                </c:pt>
                <c:pt idx="1">
                  <c:v>0.29599999999999999</c:v>
                </c:pt>
                <c:pt idx="2">
                  <c:v>0.38636363636363641</c:v>
                </c:pt>
                <c:pt idx="3">
                  <c:v>0.15945945945945947</c:v>
                </c:pt>
              </c:numCache>
            </c:numRef>
          </c:val>
          <c:smooth val="0"/>
          <c:extLst>
            <c:ext xmlns:c16="http://schemas.microsoft.com/office/drawing/2014/chart" uri="{C3380CC4-5D6E-409C-BE32-E72D297353CC}">
              <c16:uniqueId val="{00000000-F40E-4C50-A126-C84688DB07C3}"/>
            </c:ext>
          </c:extLst>
        </c:ser>
        <c:ser>
          <c:idx val="2"/>
          <c:order val="2"/>
          <c:tx>
            <c:strRef>
              <c:f>'PETG - Prosent'!$C$21</c:f>
              <c:strCache>
                <c:ptCount val="1"/>
                <c:pt idx="0">
                  <c:v> 40°C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'PETG - Prosent'!$A$22:$A$25</c:f>
              <c:numCache>
                <c:formatCode>General</c:formatCode>
                <c:ptCount val="4"/>
                <c:pt idx="0">
                  <c:v>3</c:v>
                </c:pt>
                <c:pt idx="1">
                  <c:v>6</c:v>
                </c:pt>
                <c:pt idx="2">
                  <c:v>9</c:v>
                </c:pt>
                <c:pt idx="3">
                  <c:v>12</c:v>
                </c:pt>
              </c:numCache>
            </c:numRef>
          </c:cat>
          <c:val>
            <c:numRef>
              <c:f>'PETG - Prosent'!$C$22:$C$25</c:f>
              <c:numCache>
                <c:formatCode>0.00%</c:formatCode>
                <c:ptCount val="4"/>
                <c:pt idx="0">
                  <c:v>0.24573378839590443</c:v>
                </c:pt>
                <c:pt idx="1">
                  <c:v>0.28343949044585992</c:v>
                </c:pt>
                <c:pt idx="2">
                  <c:v>0.15873015873015872</c:v>
                </c:pt>
                <c:pt idx="3">
                  <c:v>0.23255813953488369</c:v>
                </c:pt>
              </c:numCache>
            </c:numRef>
          </c:val>
          <c:smooth val="0"/>
          <c:extLst>
            <c:ext xmlns:c16="http://schemas.microsoft.com/office/drawing/2014/chart" uri="{C3380CC4-5D6E-409C-BE32-E72D297353CC}">
              <c16:uniqueId val="{00000001-F40E-4C50-A126-C84688DB07C3}"/>
            </c:ext>
          </c:extLst>
        </c:ser>
        <c:ser>
          <c:idx val="3"/>
          <c:order val="3"/>
          <c:tx>
            <c:strRef>
              <c:f>'PETG - Prosent'!$D$21</c:f>
              <c:strCache>
                <c:ptCount val="1"/>
                <c:pt idx="0">
                  <c:v>60°C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'PETG - Prosent'!$A$22:$A$25</c:f>
              <c:numCache>
                <c:formatCode>General</c:formatCode>
                <c:ptCount val="4"/>
                <c:pt idx="0">
                  <c:v>3</c:v>
                </c:pt>
                <c:pt idx="1">
                  <c:v>6</c:v>
                </c:pt>
                <c:pt idx="2">
                  <c:v>9</c:v>
                </c:pt>
                <c:pt idx="3">
                  <c:v>12</c:v>
                </c:pt>
              </c:numCache>
            </c:numRef>
          </c:cat>
          <c:val>
            <c:numRef>
              <c:f>'PETG - Prosent'!$D$22:$D$25</c:f>
              <c:numCache>
                <c:formatCode>0.00%</c:formatCode>
                <c:ptCount val="4"/>
                <c:pt idx="0">
                  <c:v>0.37368421052631584</c:v>
                </c:pt>
                <c:pt idx="1">
                  <c:v>0.22843822843822842</c:v>
                </c:pt>
                <c:pt idx="2">
                  <c:v>0.3707865168539326</c:v>
                </c:pt>
                <c:pt idx="3">
                  <c:v>0.25098814229249011</c:v>
                </c:pt>
              </c:numCache>
            </c:numRef>
          </c:val>
          <c:smooth val="0"/>
          <c:extLst>
            <c:ext xmlns:c16="http://schemas.microsoft.com/office/drawing/2014/chart" uri="{C3380CC4-5D6E-409C-BE32-E72D297353CC}">
              <c16:uniqueId val="{00000002-F40E-4C50-A126-C84688DB07C3}"/>
            </c:ext>
          </c:extLst>
        </c:ser>
        <c:dLbls>
          <c:showLegendKey val="0"/>
          <c:showVal val="0"/>
          <c:showCatName val="0"/>
          <c:showSerName val="0"/>
          <c:showPercent val="0"/>
          <c:showBubbleSize val="0"/>
        </c:dLbls>
        <c:marker val="1"/>
        <c:smooth val="0"/>
        <c:axId val="732818240"/>
        <c:axId val="732820640"/>
        <c:extLst>
          <c:ext xmlns:c15="http://schemas.microsoft.com/office/drawing/2012/chart" uri="{02D57815-91ED-43cb-92C2-25804820EDAC}">
            <c15:filteredLineSeries>
              <c15:ser>
                <c:idx val="0"/>
                <c:order val="0"/>
                <c:tx>
                  <c:strRef>
                    <c:extLst>
                      <c:ext uri="{02D57815-91ED-43cb-92C2-25804820EDAC}">
                        <c15:formulaRef>
                          <c15:sqref>'PETG - Prosent'!$A$21</c15:sqref>
                        </c15:formulaRef>
                      </c:ext>
                    </c:extLst>
                    <c:strCache>
                      <c:ptCount val="1"/>
                      <c:pt idx="0">
                        <c:v>Uke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'PETG - Prosent'!$A$22:$A$25</c15:sqref>
                        </c15:formulaRef>
                      </c:ext>
                    </c:extLst>
                    <c:numCache>
                      <c:formatCode>General</c:formatCode>
                      <c:ptCount val="4"/>
                      <c:pt idx="0">
                        <c:v>3</c:v>
                      </c:pt>
                      <c:pt idx="1">
                        <c:v>6</c:v>
                      </c:pt>
                      <c:pt idx="2">
                        <c:v>9</c:v>
                      </c:pt>
                      <c:pt idx="3">
                        <c:v>12</c:v>
                      </c:pt>
                    </c:numCache>
                  </c:numRef>
                </c:cat>
                <c:val>
                  <c:numRef>
                    <c:extLst>
                      <c:ext uri="{02D57815-91ED-43cb-92C2-25804820EDAC}">
                        <c15:formulaRef>
                          <c15:sqref>'PETG - Prosent'!$A$22:$A$25</c15:sqref>
                        </c15:formulaRef>
                      </c:ext>
                    </c:extLst>
                    <c:numCache>
                      <c:formatCode>General</c:formatCode>
                      <c:ptCount val="4"/>
                      <c:pt idx="0">
                        <c:v>3</c:v>
                      </c:pt>
                      <c:pt idx="1">
                        <c:v>6</c:v>
                      </c:pt>
                      <c:pt idx="2">
                        <c:v>9</c:v>
                      </c:pt>
                      <c:pt idx="3">
                        <c:v>12</c:v>
                      </c:pt>
                    </c:numCache>
                  </c:numRef>
                </c:val>
                <c:smooth val="0"/>
                <c:extLst>
                  <c:ext xmlns:c16="http://schemas.microsoft.com/office/drawing/2014/chart" uri="{C3380CC4-5D6E-409C-BE32-E72D297353CC}">
                    <c16:uniqueId val="{00000003-F40E-4C50-A126-C84688DB07C3}"/>
                  </c:ext>
                </c:extLst>
              </c15:ser>
            </c15:filteredLineSeries>
          </c:ext>
        </c:extLst>
      </c:lineChart>
      <c:catAx>
        <c:axId val="73281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32820640"/>
        <c:crosses val="autoZero"/>
        <c:auto val="1"/>
        <c:lblAlgn val="ctr"/>
        <c:lblOffset val="100"/>
        <c:noMultiLvlLbl val="0"/>
      </c:catAx>
      <c:valAx>
        <c:axId val="732820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sz="1000" b="0" i="0" u="none" strike="noStrike" kern="1200" baseline="0">
                    <a:solidFill>
                      <a:sysClr val="windowText" lastClr="000000">
                        <a:lumMod val="65000"/>
                        <a:lumOff val="35000"/>
                      </a:sysClr>
                    </a:solidFill>
                  </a:rPr>
                  <a:t>Andel vektopptak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32818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400" b="0" i="0" u="none" strike="noStrike" kern="1200" spc="0" baseline="0">
                <a:solidFill>
                  <a:sysClr val="windowText" lastClr="000000">
                    <a:lumMod val="65000"/>
                    <a:lumOff val="35000"/>
                  </a:sysClr>
                </a:solidFill>
              </a:rPr>
              <a:t>Andel av vektopptak som ble værende etter tørking for PLA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1"/>
          <c:order val="1"/>
          <c:tx>
            <c:strRef>
              <c:f>'PLA - Prosent'!$B$21</c:f>
              <c:strCache>
                <c:ptCount val="1"/>
                <c:pt idx="0">
                  <c:v> 20°C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'PLA - Prosent'!$A$22:$A$25</c:f>
              <c:numCache>
                <c:formatCode>General</c:formatCode>
                <c:ptCount val="4"/>
                <c:pt idx="0">
                  <c:v>3</c:v>
                </c:pt>
                <c:pt idx="1">
                  <c:v>6</c:v>
                </c:pt>
                <c:pt idx="2">
                  <c:v>9</c:v>
                </c:pt>
                <c:pt idx="3">
                  <c:v>12</c:v>
                </c:pt>
              </c:numCache>
            </c:numRef>
          </c:cat>
          <c:val>
            <c:numRef>
              <c:f>'PLA - Prosent'!$B$22:$B$25</c:f>
              <c:numCache>
                <c:formatCode>0.00%</c:formatCode>
                <c:ptCount val="4"/>
                <c:pt idx="0">
                  <c:v>0.16326530612244897</c:v>
                </c:pt>
                <c:pt idx="1">
                  <c:v>0.15306122448979592</c:v>
                </c:pt>
                <c:pt idx="2">
                  <c:v>0.11666666666666667</c:v>
                </c:pt>
                <c:pt idx="3">
                  <c:v>0.15833333333333333</c:v>
                </c:pt>
              </c:numCache>
            </c:numRef>
          </c:val>
          <c:smooth val="0"/>
          <c:extLst>
            <c:ext xmlns:c16="http://schemas.microsoft.com/office/drawing/2014/chart" uri="{C3380CC4-5D6E-409C-BE32-E72D297353CC}">
              <c16:uniqueId val="{00000000-EF85-4E11-8CB3-5BDAC8C360F9}"/>
            </c:ext>
          </c:extLst>
        </c:ser>
        <c:ser>
          <c:idx val="2"/>
          <c:order val="2"/>
          <c:tx>
            <c:strRef>
              <c:f>'PLA - Prosent'!$C$21</c:f>
              <c:strCache>
                <c:ptCount val="1"/>
                <c:pt idx="0">
                  <c:v> 40°C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'PLA - Prosent'!$A$22:$A$25</c:f>
              <c:numCache>
                <c:formatCode>General</c:formatCode>
                <c:ptCount val="4"/>
                <c:pt idx="0">
                  <c:v>3</c:v>
                </c:pt>
                <c:pt idx="1">
                  <c:v>6</c:v>
                </c:pt>
                <c:pt idx="2">
                  <c:v>9</c:v>
                </c:pt>
                <c:pt idx="3">
                  <c:v>12</c:v>
                </c:pt>
              </c:numCache>
            </c:numRef>
          </c:cat>
          <c:val>
            <c:numRef>
              <c:f>'PLA - Prosent'!$C$22:$C$25</c:f>
              <c:numCache>
                <c:formatCode>0.00%</c:formatCode>
                <c:ptCount val="4"/>
                <c:pt idx="0">
                  <c:v>0.22391857506361323</c:v>
                </c:pt>
                <c:pt idx="1">
                  <c:v>0.1386138613861386</c:v>
                </c:pt>
                <c:pt idx="2">
                  <c:v>8.399209486166008E-2</c:v>
                </c:pt>
                <c:pt idx="3">
                  <c:v>0.15650741350906097</c:v>
                </c:pt>
              </c:numCache>
            </c:numRef>
          </c:val>
          <c:smooth val="0"/>
          <c:extLst>
            <c:ext xmlns:c16="http://schemas.microsoft.com/office/drawing/2014/chart" uri="{C3380CC4-5D6E-409C-BE32-E72D297353CC}">
              <c16:uniqueId val="{00000001-EF85-4E11-8CB3-5BDAC8C360F9}"/>
            </c:ext>
          </c:extLst>
        </c:ser>
        <c:ser>
          <c:idx val="3"/>
          <c:order val="3"/>
          <c:tx>
            <c:strRef>
              <c:f>'PLA - Prosent'!$D$21</c:f>
              <c:strCache>
                <c:ptCount val="1"/>
                <c:pt idx="0">
                  <c:v>60°C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'PLA - Prosent'!$A$22:$A$25</c:f>
              <c:numCache>
                <c:formatCode>General</c:formatCode>
                <c:ptCount val="4"/>
                <c:pt idx="0">
                  <c:v>3</c:v>
                </c:pt>
                <c:pt idx="1">
                  <c:v>6</c:v>
                </c:pt>
                <c:pt idx="2">
                  <c:v>9</c:v>
                </c:pt>
                <c:pt idx="3">
                  <c:v>12</c:v>
                </c:pt>
              </c:numCache>
            </c:numRef>
          </c:cat>
          <c:val>
            <c:numRef>
              <c:f>'PLA - Prosent'!$D$22:$D$25</c:f>
              <c:numCache>
                <c:formatCode>0.00%</c:formatCode>
                <c:ptCount val="4"/>
                <c:pt idx="0">
                  <c:v>0.22042139384116693</c:v>
                </c:pt>
                <c:pt idx="1">
                  <c:v>-1.5778748180494906</c:v>
                </c:pt>
                <c:pt idx="2">
                  <c:v>#N/A</c:v>
                </c:pt>
                <c:pt idx="3">
                  <c:v>0</c:v>
                </c:pt>
              </c:numCache>
            </c:numRef>
          </c:val>
          <c:smooth val="0"/>
          <c:extLst>
            <c:ext xmlns:c16="http://schemas.microsoft.com/office/drawing/2014/chart" uri="{C3380CC4-5D6E-409C-BE32-E72D297353CC}">
              <c16:uniqueId val="{00000002-EF85-4E11-8CB3-5BDAC8C360F9}"/>
            </c:ext>
          </c:extLst>
        </c:ser>
        <c:dLbls>
          <c:showLegendKey val="0"/>
          <c:showVal val="0"/>
          <c:showCatName val="0"/>
          <c:showSerName val="0"/>
          <c:showPercent val="0"/>
          <c:showBubbleSize val="0"/>
        </c:dLbls>
        <c:marker val="1"/>
        <c:smooth val="0"/>
        <c:axId val="1676001488"/>
        <c:axId val="1676003408"/>
        <c:extLst>
          <c:ext xmlns:c15="http://schemas.microsoft.com/office/drawing/2012/chart" uri="{02D57815-91ED-43cb-92C2-25804820EDAC}">
            <c15:filteredLineSeries>
              <c15:ser>
                <c:idx val="0"/>
                <c:order val="0"/>
                <c:tx>
                  <c:strRef>
                    <c:extLst>
                      <c:ext uri="{02D57815-91ED-43cb-92C2-25804820EDAC}">
                        <c15:formulaRef>
                          <c15:sqref>'PLA - Prosent'!$A$21</c15:sqref>
                        </c15:formulaRef>
                      </c:ext>
                    </c:extLst>
                    <c:strCache>
                      <c:ptCount val="1"/>
                      <c:pt idx="0">
                        <c:v>Uke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'PLA - Prosent'!$A$22:$A$25</c15:sqref>
                        </c15:formulaRef>
                      </c:ext>
                    </c:extLst>
                    <c:numCache>
                      <c:formatCode>General</c:formatCode>
                      <c:ptCount val="4"/>
                      <c:pt idx="0">
                        <c:v>3</c:v>
                      </c:pt>
                      <c:pt idx="1">
                        <c:v>6</c:v>
                      </c:pt>
                      <c:pt idx="2">
                        <c:v>9</c:v>
                      </c:pt>
                      <c:pt idx="3">
                        <c:v>12</c:v>
                      </c:pt>
                    </c:numCache>
                  </c:numRef>
                </c:cat>
                <c:val>
                  <c:numRef>
                    <c:extLst>
                      <c:ext uri="{02D57815-91ED-43cb-92C2-25804820EDAC}">
                        <c15:formulaRef>
                          <c15:sqref>'PLA - Prosent'!$A$22:$A$25</c15:sqref>
                        </c15:formulaRef>
                      </c:ext>
                    </c:extLst>
                    <c:numCache>
                      <c:formatCode>General</c:formatCode>
                      <c:ptCount val="4"/>
                      <c:pt idx="0">
                        <c:v>3</c:v>
                      </c:pt>
                      <c:pt idx="1">
                        <c:v>6</c:v>
                      </c:pt>
                      <c:pt idx="2">
                        <c:v>9</c:v>
                      </c:pt>
                      <c:pt idx="3">
                        <c:v>12</c:v>
                      </c:pt>
                    </c:numCache>
                  </c:numRef>
                </c:val>
                <c:smooth val="0"/>
                <c:extLst>
                  <c:ext xmlns:c16="http://schemas.microsoft.com/office/drawing/2014/chart" uri="{C3380CC4-5D6E-409C-BE32-E72D297353CC}">
                    <c16:uniqueId val="{00000003-EF85-4E11-8CB3-5BDAC8C360F9}"/>
                  </c:ext>
                </c:extLst>
              </c15:ser>
            </c15:filteredLineSeries>
          </c:ext>
        </c:extLst>
      </c:lineChart>
      <c:catAx>
        <c:axId val="1676001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Uke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76003408"/>
        <c:crosses val="autoZero"/>
        <c:auto val="1"/>
        <c:lblAlgn val="ctr"/>
        <c:lblOffset val="100"/>
        <c:noMultiLvlLbl val="0"/>
      </c:catAx>
      <c:valAx>
        <c:axId val="1676003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sz="1000" b="0" i="0" u="none" strike="noStrike" kern="1200" baseline="0">
                    <a:solidFill>
                      <a:sysClr val="windowText" lastClr="000000">
                        <a:lumMod val="65000"/>
                        <a:lumOff val="35000"/>
                      </a:sysClr>
                    </a:solidFill>
                  </a:rPr>
                  <a:t>Andel vektopptak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76001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66674</xdr:colOff>
      <xdr:row>25</xdr:row>
      <xdr:rowOff>6351</xdr:rowOff>
    </xdr:from>
    <xdr:to>
      <xdr:col>13</xdr:col>
      <xdr:colOff>45357</xdr:colOff>
      <xdr:row>52</xdr:row>
      <xdr:rowOff>117928</xdr:rowOff>
    </xdr:to>
    <xdr:graphicFrame macro="">
      <xdr:nvGraphicFramePr>
        <xdr:cNvPr id="2" name="Diagram 1">
          <a:extLst>
            <a:ext uri="{FF2B5EF4-FFF2-40B4-BE49-F238E27FC236}">
              <a16:creationId xmlns:a16="http://schemas.microsoft.com/office/drawing/2014/main" id="{10F129D2-D1C9-6569-8FCE-C7563DEC8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75</xdr:row>
      <xdr:rowOff>0</xdr:rowOff>
    </xdr:from>
    <xdr:to>
      <xdr:col>12</xdr:col>
      <xdr:colOff>698500</xdr:colOff>
      <xdr:row>102</xdr:row>
      <xdr:rowOff>50800</xdr:rowOff>
    </xdr:to>
    <xdr:graphicFrame macro="">
      <xdr:nvGraphicFramePr>
        <xdr:cNvPr id="7" name="Diagram 6">
          <a:extLst>
            <a:ext uri="{FF2B5EF4-FFF2-40B4-BE49-F238E27FC236}">
              <a16:creationId xmlns:a16="http://schemas.microsoft.com/office/drawing/2014/main" id="{218FDA8B-DEF5-0830-7BB1-F6EAE0EDA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14</xdr:col>
      <xdr:colOff>146050</xdr:colOff>
      <xdr:row>72</xdr:row>
      <xdr:rowOff>120650</xdr:rowOff>
    </xdr:from>
    <xdr:ext cx="184731" cy="264560"/>
    <xdr:sp macro="" textlink="">
      <xdr:nvSpPr>
        <xdr:cNvPr id="8" name="TekstSylinder 7">
          <a:extLst>
            <a:ext uri="{FF2B5EF4-FFF2-40B4-BE49-F238E27FC236}">
              <a16:creationId xmlns:a16="http://schemas.microsoft.com/office/drawing/2014/main" id="{7DD2909D-DB35-82F7-1C71-EF7B2E6FAC35}"/>
            </a:ext>
          </a:extLst>
        </xdr:cNvPr>
        <xdr:cNvSpPr txBox="1"/>
      </xdr:nvSpPr>
      <xdr:spPr>
        <a:xfrm>
          <a:off x="10814050" y="13989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13</xdr:col>
      <xdr:colOff>647700</xdr:colOff>
      <xdr:row>25</xdr:row>
      <xdr:rowOff>6350</xdr:rowOff>
    </xdr:from>
    <xdr:ext cx="2753959" cy="2675732"/>
    <xdr:sp macro="" textlink="">
      <xdr:nvSpPr>
        <xdr:cNvPr id="9" name="TekstSylinder 8">
          <a:extLst>
            <a:ext uri="{FF2B5EF4-FFF2-40B4-BE49-F238E27FC236}">
              <a16:creationId xmlns:a16="http://schemas.microsoft.com/office/drawing/2014/main" id="{DC1DD452-00B2-D7F5-0925-1634203F48E0}"/>
            </a:ext>
          </a:extLst>
        </xdr:cNvPr>
        <xdr:cNvSpPr txBox="1"/>
      </xdr:nvSpPr>
      <xdr:spPr>
        <a:xfrm>
          <a:off x="10553700" y="5422900"/>
          <a:ext cx="2753959" cy="26757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nb-NO" sz="1100" b="1">
              <a:solidFill>
                <a:schemeClr val="tx1"/>
              </a:solidFill>
              <a:effectLst/>
              <a:latin typeface="+mn-lt"/>
              <a:ea typeface="+mn-ea"/>
              <a:cs typeface="+mn-cs"/>
            </a:rPr>
            <a:t>Dette diagrammet viser:</a:t>
          </a:r>
          <a:endParaRPr lang="nb-NO">
            <a:effectLst/>
          </a:endParaRPr>
        </a:p>
        <a:p>
          <a:r>
            <a:rPr lang="nb-NO" sz="1100">
              <a:solidFill>
                <a:schemeClr val="tx1"/>
              </a:solidFill>
              <a:effectLst/>
              <a:latin typeface="+mn-lt"/>
              <a:ea typeface="+mn-ea"/>
              <a:cs typeface="+mn-cs"/>
            </a:rPr>
            <a:t>1.</a:t>
          </a:r>
          <a:r>
            <a:rPr lang="nb-NO" sz="1100" baseline="0">
              <a:solidFill>
                <a:schemeClr val="tx1"/>
              </a:solidFill>
              <a:effectLst/>
              <a:latin typeface="+mn-lt"/>
              <a:ea typeface="+mn-ea"/>
              <a:cs typeface="+mn-cs"/>
            </a:rPr>
            <a:t> H</a:t>
          </a:r>
          <a:r>
            <a:rPr lang="nb-NO" sz="1100">
              <a:solidFill>
                <a:schemeClr val="tx1"/>
              </a:solidFill>
              <a:effectLst/>
              <a:latin typeface="+mn-lt"/>
              <a:ea typeface="+mn-ea"/>
              <a:cs typeface="+mn-cs"/>
            </a:rPr>
            <a:t>vor mye vann materialet tar opp </a:t>
          </a:r>
          <a:endParaRPr lang="nb-NO">
            <a:effectLst/>
          </a:endParaRPr>
        </a:p>
        <a:p>
          <a:r>
            <a:rPr lang="nb-NO" sz="1100">
              <a:solidFill>
                <a:schemeClr val="tx1"/>
              </a:solidFill>
              <a:effectLst/>
              <a:latin typeface="+mn-lt"/>
              <a:ea typeface="+mn-ea"/>
              <a:cs typeface="+mn-cs"/>
            </a:rPr>
            <a:t>2.</a:t>
          </a:r>
          <a:r>
            <a:rPr lang="nb-NO" sz="1100" baseline="0">
              <a:solidFill>
                <a:schemeClr val="tx1"/>
              </a:solidFill>
              <a:effectLst/>
              <a:latin typeface="+mn-lt"/>
              <a:ea typeface="+mn-ea"/>
              <a:cs typeface="+mn-cs"/>
            </a:rPr>
            <a:t> H</a:t>
          </a:r>
          <a:r>
            <a:rPr lang="nb-NO" sz="1100">
              <a:solidFill>
                <a:schemeClr val="tx1"/>
              </a:solidFill>
              <a:effectLst/>
              <a:latin typeface="+mn-lt"/>
              <a:ea typeface="+mn-ea"/>
              <a:cs typeface="+mn-cs"/>
            </a:rPr>
            <a:t>vordan temperatur påvirker vannopptaket </a:t>
          </a:r>
          <a:endParaRPr lang="nb-NO">
            <a:effectLst/>
          </a:endParaRPr>
        </a:p>
        <a:p>
          <a:r>
            <a:rPr lang="nb-NO" sz="1100">
              <a:solidFill>
                <a:schemeClr val="tx1"/>
              </a:solidFill>
              <a:effectLst/>
              <a:latin typeface="+mn-lt"/>
              <a:ea typeface="+mn-ea"/>
              <a:cs typeface="+mn-cs"/>
            </a:rPr>
            <a:t>3.</a:t>
          </a:r>
          <a:r>
            <a:rPr lang="nb-NO" sz="1100" baseline="0">
              <a:solidFill>
                <a:schemeClr val="tx1"/>
              </a:solidFill>
              <a:effectLst/>
              <a:latin typeface="+mn-lt"/>
              <a:ea typeface="+mn-ea"/>
              <a:cs typeface="+mn-cs"/>
            </a:rPr>
            <a:t> F</a:t>
          </a:r>
          <a:r>
            <a:rPr lang="nb-NO" sz="1100">
              <a:solidFill>
                <a:schemeClr val="tx1"/>
              </a:solidFill>
              <a:effectLst/>
              <a:latin typeface="+mn-lt"/>
              <a:ea typeface="+mn-ea"/>
              <a:cs typeface="+mn-cs"/>
            </a:rPr>
            <a:t>orskjellen mellom tørre og våte prøver </a:t>
          </a:r>
          <a:endParaRPr lang="nb-NO">
            <a:effectLst/>
          </a:endParaRPr>
        </a:p>
        <a:p>
          <a:r>
            <a:rPr lang="nb-NO" sz="1100">
              <a:solidFill>
                <a:schemeClr val="tx1"/>
              </a:solidFill>
              <a:effectLst/>
              <a:latin typeface="+mn-lt"/>
              <a:ea typeface="+mn-ea"/>
              <a:cs typeface="+mn-cs"/>
            </a:rPr>
            <a:t>4. Utviklingen over tid</a:t>
          </a:r>
        </a:p>
        <a:p>
          <a:endParaRPr lang="nb-NO" sz="1100">
            <a:solidFill>
              <a:schemeClr val="tx1"/>
            </a:solidFill>
            <a:effectLst/>
            <a:latin typeface="+mn-lt"/>
            <a:ea typeface="+mn-ea"/>
            <a:cs typeface="+mn-cs"/>
          </a:endParaRPr>
        </a:p>
        <a:p>
          <a:r>
            <a:rPr lang="nb-NO" sz="1100" b="1">
              <a:solidFill>
                <a:schemeClr val="tx1"/>
              </a:solidFill>
              <a:effectLst/>
              <a:latin typeface="+mn-lt"/>
              <a:ea typeface="+mn-ea"/>
              <a:cs typeface="+mn-cs"/>
            </a:rPr>
            <a:t>Feilfeltene viser:</a:t>
          </a:r>
          <a:endParaRPr lang="nb-NO">
            <a:effectLst/>
          </a:endParaRPr>
        </a:p>
        <a:p>
          <a:r>
            <a:rPr lang="nb-NO" sz="1100">
              <a:solidFill>
                <a:schemeClr val="tx1"/>
              </a:solidFill>
              <a:effectLst/>
              <a:latin typeface="+mn-lt"/>
              <a:ea typeface="+mn-ea"/>
              <a:cs typeface="+mn-cs"/>
            </a:rPr>
            <a:t>- variasjon mellom prøvene </a:t>
          </a:r>
          <a:endParaRPr lang="nb-NO">
            <a:effectLst/>
          </a:endParaRPr>
        </a:p>
        <a:p>
          <a:r>
            <a:rPr lang="nb-NO" sz="1100">
              <a:solidFill>
                <a:schemeClr val="tx1"/>
              </a:solidFill>
              <a:effectLst/>
              <a:latin typeface="+mn-lt"/>
              <a:ea typeface="+mn-ea"/>
              <a:cs typeface="+mn-cs"/>
            </a:rPr>
            <a:t>- hvor spredt målingene er </a:t>
          </a:r>
          <a:endParaRPr lang="nb-NO">
            <a:effectLst/>
          </a:endParaRPr>
        </a:p>
        <a:p>
          <a:r>
            <a:rPr lang="nb-NO" sz="1100" b="1">
              <a:solidFill>
                <a:schemeClr val="tx1"/>
              </a:solidFill>
              <a:effectLst/>
              <a:latin typeface="+mn-lt"/>
              <a:ea typeface="+mn-ea"/>
              <a:cs typeface="+mn-cs"/>
            </a:rPr>
            <a:t>Små feilfelt:</a:t>
          </a:r>
          <a:endParaRPr lang="nb-NO">
            <a:effectLst/>
          </a:endParaRPr>
        </a:p>
        <a:p>
          <a:r>
            <a:rPr lang="nb-NO" sz="1100">
              <a:solidFill>
                <a:schemeClr val="tx1"/>
              </a:solidFill>
              <a:effectLst/>
              <a:latin typeface="+mn-lt"/>
              <a:ea typeface="+mn-ea"/>
              <a:cs typeface="+mn-cs"/>
            </a:rPr>
            <a:t>→ prøvene oppfører seg likt</a:t>
          </a:r>
          <a:endParaRPr lang="nb-NO">
            <a:effectLst/>
          </a:endParaRPr>
        </a:p>
        <a:p>
          <a:r>
            <a:rPr lang="nb-NO" sz="1100" b="1">
              <a:solidFill>
                <a:schemeClr val="tx1"/>
              </a:solidFill>
              <a:effectLst/>
              <a:latin typeface="+mn-lt"/>
              <a:ea typeface="+mn-ea"/>
              <a:cs typeface="+mn-cs"/>
            </a:rPr>
            <a:t>Store feilfelt:</a:t>
          </a:r>
          <a:endParaRPr lang="nb-NO">
            <a:effectLst/>
          </a:endParaRPr>
        </a:p>
        <a:p>
          <a:r>
            <a:rPr lang="nb-NO" sz="1100">
              <a:solidFill>
                <a:schemeClr val="tx1"/>
              </a:solidFill>
              <a:effectLst/>
              <a:latin typeface="+mn-lt"/>
              <a:ea typeface="+mn-ea"/>
              <a:cs typeface="+mn-cs"/>
            </a:rPr>
            <a:t>→ større variasjon mellom prøvene</a:t>
          </a:r>
          <a:endParaRPr lang="nb-NO">
            <a:effectLst/>
          </a:endParaRPr>
        </a:p>
        <a:p>
          <a:endParaRPr lang="nb-NO">
            <a:effectLst/>
          </a:endParaRPr>
        </a:p>
        <a:p>
          <a:endParaRPr lang="nb-NO" sz="1100"/>
        </a:p>
      </xdr:txBody>
    </xdr:sp>
    <xdr:clientData/>
  </xdr:oneCellAnchor>
  <xdr:oneCellAnchor>
    <xdr:from>
      <xdr:col>13</xdr:col>
      <xdr:colOff>476250</xdr:colOff>
      <xdr:row>75</xdr:row>
      <xdr:rowOff>107950</xdr:rowOff>
    </xdr:from>
    <xdr:ext cx="3067050" cy="2503506"/>
    <xdr:sp macro="" textlink="">
      <xdr:nvSpPr>
        <xdr:cNvPr id="10" name="TekstSylinder 9">
          <a:extLst>
            <a:ext uri="{FF2B5EF4-FFF2-40B4-BE49-F238E27FC236}">
              <a16:creationId xmlns:a16="http://schemas.microsoft.com/office/drawing/2014/main" id="{8F810C16-2A05-1998-AE02-CBCD22607CE2}"/>
            </a:ext>
          </a:extLst>
        </xdr:cNvPr>
        <xdr:cNvSpPr txBox="1"/>
      </xdr:nvSpPr>
      <xdr:spPr>
        <a:xfrm>
          <a:off x="10382250" y="14528800"/>
          <a:ext cx="3067050" cy="250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solidFill>
                <a:schemeClr val="tx1"/>
              </a:solidFill>
              <a:effectLst/>
              <a:latin typeface="+mn-lt"/>
              <a:ea typeface="+mn-ea"/>
              <a:cs typeface="+mn-cs"/>
            </a:rPr>
            <a:t>Dette diagrammet viser:</a:t>
          </a:r>
          <a:endParaRPr lang="nb-NO">
            <a:effectLst/>
          </a:endParaRPr>
        </a:p>
        <a:p>
          <a:r>
            <a:rPr lang="nb-NO" sz="1100">
              <a:solidFill>
                <a:schemeClr val="tx1"/>
              </a:solidFill>
              <a:effectLst/>
              <a:latin typeface="+mn-lt"/>
              <a:ea typeface="+mn-ea"/>
              <a:cs typeface="+mn-cs"/>
            </a:rPr>
            <a:t>1. Hva som blir igjen etter tørking </a:t>
          </a:r>
          <a:endParaRPr lang="nb-NO">
            <a:effectLst/>
          </a:endParaRPr>
        </a:p>
        <a:p>
          <a:r>
            <a:rPr lang="nb-NO" sz="1100">
              <a:solidFill>
                <a:schemeClr val="tx1"/>
              </a:solidFill>
              <a:effectLst/>
              <a:latin typeface="+mn-lt"/>
              <a:ea typeface="+mn-ea"/>
              <a:cs typeface="+mn-cs"/>
            </a:rPr>
            <a:t>2.</a:t>
          </a:r>
          <a:r>
            <a:rPr lang="nb-NO" sz="1100" baseline="0">
              <a:solidFill>
                <a:schemeClr val="tx1"/>
              </a:solidFill>
              <a:effectLst/>
              <a:latin typeface="+mn-lt"/>
              <a:ea typeface="+mn-ea"/>
              <a:cs typeface="+mn-cs"/>
            </a:rPr>
            <a:t> H</a:t>
          </a:r>
          <a:r>
            <a:rPr lang="nb-NO" sz="1100">
              <a:solidFill>
                <a:schemeClr val="tx1"/>
              </a:solidFill>
              <a:effectLst/>
              <a:latin typeface="+mn-lt"/>
              <a:ea typeface="+mn-ea"/>
              <a:cs typeface="+mn-cs"/>
            </a:rPr>
            <a:t>vor mye vann/salt som ikke forsvinner ut igjen</a:t>
          </a:r>
          <a:endParaRPr lang="nb-NO">
            <a:effectLst/>
          </a:endParaRPr>
        </a:p>
        <a:p>
          <a:r>
            <a:rPr lang="nb-NO" sz="1100">
              <a:solidFill>
                <a:schemeClr val="tx1"/>
              </a:solidFill>
              <a:effectLst/>
              <a:latin typeface="+mn-lt"/>
              <a:ea typeface="+mn-ea"/>
              <a:cs typeface="+mn-cs"/>
            </a:rPr>
            <a:t>3. Strukturelle endringer som for eksempel avskalling av materialer kan gi minusverdier. </a:t>
          </a:r>
        </a:p>
        <a:p>
          <a:endParaRPr lang="nb-NO">
            <a:effectLst/>
          </a:endParaRPr>
        </a:p>
        <a:p>
          <a:r>
            <a:rPr lang="nb-NO" sz="1100" b="1">
              <a:solidFill>
                <a:schemeClr val="tx1"/>
              </a:solidFill>
              <a:effectLst/>
              <a:latin typeface="+mn-lt"/>
              <a:ea typeface="+mn-ea"/>
              <a:cs typeface="+mn-cs"/>
            </a:rPr>
            <a:t>Feilfeltene viser:</a:t>
          </a:r>
          <a:endParaRPr lang="nb-NO">
            <a:effectLst/>
          </a:endParaRPr>
        </a:p>
        <a:p>
          <a:r>
            <a:rPr lang="nb-NO" sz="1100">
              <a:solidFill>
                <a:schemeClr val="tx1"/>
              </a:solidFill>
              <a:effectLst/>
              <a:latin typeface="+mn-lt"/>
              <a:ea typeface="+mn-ea"/>
              <a:cs typeface="+mn-cs"/>
            </a:rPr>
            <a:t>- variasjon mellom prøvene </a:t>
          </a:r>
          <a:endParaRPr lang="nb-NO">
            <a:effectLst/>
          </a:endParaRPr>
        </a:p>
        <a:p>
          <a:r>
            <a:rPr lang="nb-NO" sz="1100">
              <a:solidFill>
                <a:schemeClr val="tx1"/>
              </a:solidFill>
              <a:effectLst/>
              <a:latin typeface="+mn-lt"/>
              <a:ea typeface="+mn-ea"/>
              <a:cs typeface="+mn-cs"/>
            </a:rPr>
            <a:t>- hvor spredt målingene er </a:t>
          </a:r>
          <a:endParaRPr lang="nb-NO">
            <a:effectLst/>
          </a:endParaRPr>
        </a:p>
        <a:p>
          <a:r>
            <a:rPr lang="nb-NO" sz="1100" b="1">
              <a:solidFill>
                <a:schemeClr val="tx1"/>
              </a:solidFill>
              <a:effectLst/>
              <a:latin typeface="+mn-lt"/>
              <a:ea typeface="+mn-ea"/>
              <a:cs typeface="+mn-cs"/>
            </a:rPr>
            <a:t>Små feilfelt:</a:t>
          </a:r>
          <a:endParaRPr lang="nb-NO">
            <a:effectLst/>
          </a:endParaRPr>
        </a:p>
        <a:p>
          <a:r>
            <a:rPr lang="nb-NO" sz="1100">
              <a:solidFill>
                <a:schemeClr val="tx1"/>
              </a:solidFill>
              <a:effectLst/>
              <a:latin typeface="+mn-lt"/>
              <a:ea typeface="+mn-ea"/>
              <a:cs typeface="+mn-cs"/>
            </a:rPr>
            <a:t>→ prøvene oppfører seg likt</a:t>
          </a:r>
          <a:endParaRPr lang="nb-NO">
            <a:effectLst/>
          </a:endParaRPr>
        </a:p>
        <a:p>
          <a:r>
            <a:rPr lang="nb-NO" sz="1100" b="1">
              <a:solidFill>
                <a:schemeClr val="tx1"/>
              </a:solidFill>
              <a:effectLst/>
              <a:latin typeface="+mn-lt"/>
              <a:ea typeface="+mn-ea"/>
              <a:cs typeface="+mn-cs"/>
            </a:rPr>
            <a:t>Store feilfelt:</a:t>
          </a:r>
          <a:endParaRPr lang="nb-NO">
            <a:effectLst/>
          </a:endParaRPr>
        </a:p>
        <a:p>
          <a:r>
            <a:rPr lang="nb-NO" sz="1100">
              <a:solidFill>
                <a:schemeClr val="tx1"/>
              </a:solidFill>
              <a:effectLst/>
              <a:latin typeface="+mn-lt"/>
              <a:ea typeface="+mn-ea"/>
              <a:cs typeface="+mn-cs"/>
            </a:rPr>
            <a:t>→ større variasjon mellom prøvene</a:t>
          </a:r>
          <a:endParaRPr lang="nb-NO">
            <a:effectLst/>
          </a:endParaRPr>
        </a:p>
        <a:p>
          <a:endParaRPr lang="nb-NO" sz="1100"/>
        </a:p>
      </xdr:txBody>
    </xdr:sp>
    <xdr:clientData/>
  </xdr:oneCellAnchor>
  <xdr:oneCellAnchor>
    <xdr:from>
      <xdr:col>8</xdr:col>
      <xdr:colOff>685800</xdr:colOff>
      <xdr:row>3</xdr:row>
      <xdr:rowOff>171450</xdr:rowOff>
    </xdr:from>
    <xdr:ext cx="4279900" cy="1814599"/>
    <xdr:sp macro="" textlink="">
      <xdr:nvSpPr>
        <xdr:cNvPr id="11" name="TekstSylinder 10">
          <a:extLst>
            <a:ext uri="{FF2B5EF4-FFF2-40B4-BE49-F238E27FC236}">
              <a16:creationId xmlns:a16="http://schemas.microsoft.com/office/drawing/2014/main" id="{68BC1CFA-3A3C-2E9C-2CFD-1DAEDF242C2D}"/>
            </a:ext>
          </a:extLst>
        </xdr:cNvPr>
        <xdr:cNvSpPr txBox="1"/>
      </xdr:nvSpPr>
      <xdr:spPr>
        <a:xfrm>
          <a:off x="6781800" y="891117"/>
          <a:ext cx="4279900" cy="1814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a:t>Det mangler måledata for enkelte prøver i uke 9. Prøvene ble ikke veid på dette tidspunktet fordi materialet smuldret opp under håndtering, noe som gjorde målingene svært usikre. Dette kan forklare de tydelige sprangene som observeres i diagrammet mellom uke 6 og uke 12.</a:t>
          </a:r>
        </a:p>
        <a:p>
          <a:endParaRPr lang="nb-NO"/>
        </a:p>
        <a:p>
          <a:r>
            <a:rPr lang="nb-NO"/>
            <a:t>I uke 12 ble prøvene likevel veid for å få en indikasjon på videre utvikling. Under håndtering løsnet det fortsatt materiale fra prøvene og ble sittende igjen på papir og hender under veiing. Verdiene fra uke 12 har derfor en viss usikkerhet, men resultatene indikerer likevel at materialet fortsetter å redusere masse over tid.</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336550</xdr:colOff>
      <xdr:row>3</xdr:row>
      <xdr:rowOff>228600</xdr:rowOff>
    </xdr:from>
    <xdr:ext cx="3219450" cy="1695450"/>
    <mc:AlternateContent xmlns:mc="http://schemas.openxmlformats.org/markup-compatibility/2006" xmlns:a14="http://schemas.microsoft.com/office/drawing/2010/main">
      <mc:Choice Requires="a14">
        <xdr:sp macro="" textlink="">
          <xdr:nvSpPr>
            <xdr:cNvPr id="3" name="TekstSylinder 2">
              <a:extLst>
                <a:ext uri="{FF2B5EF4-FFF2-40B4-BE49-F238E27FC236}">
                  <a16:creationId xmlns:a16="http://schemas.microsoft.com/office/drawing/2014/main" id="{1C35592C-6AB3-72BF-739F-3F8DF42020CE}"/>
                </a:ext>
              </a:extLst>
            </xdr:cNvPr>
            <xdr:cNvSpPr txBox="1"/>
          </xdr:nvSpPr>
          <xdr:spPr>
            <a:xfrm>
              <a:off x="5067300" y="1041400"/>
              <a:ext cx="3219450" cy="1695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nb-NO" sz="1100">
                  <a:solidFill>
                    <a:schemeClr val="tx1"/>
                  </a:solidFill>
                  <a:effectLst/>
                  <a:latin typeface="+mn-lt"/>
                  <a:ea typeface="+mn-ea"/>
                  <a:cs typeface="+mn-cs"/>
                </a:rPr>
                <a:t>Permanent andel av opptak (%) er beregnet som forholdet mellom gjennomsnittlig permanent vektendring og gjennomsnittlig vektendring.</a:t>
              </a:r>
            </a:p>
            <a:p>
              <a:endParaRPr lang="nb-NO">
                <a:effectLst/>
              </a:endParaRPr>
            </a:p>
            <a:p>
              <a:pPr/>
              <a14:m>
                <m:oMathPara xmlns:m="http://schemas.openxmlformats.org/officeDocument/2006/math">
                  <m:oMathParaPr>
                    <m:jc m:val="centerGroup"/>
                  </m:oMathParaPr>
                  <m:oMath xmlns:m="http://schemas.openxmlformats.org/officeDocument/2006/math">
                    <m:r>
                      <a:rPr lang="nb-NO" sz="1100" b="0" i="1">
                        <a:solidFill>
                          <a:schemeClr val="tx1"/>
                        </a:solidFill>
                        <a:effectLst/>
                        <a:latin typeface="Cambria Math" panose="02040503050406030204" pitchFamily="18" charset="0"/>
                        <a:ea typeface="+mn-ea"/>
                        <a:cs typeface="+mn-cs"/>
                      </a:rPr>
                      <m:t>𝑃𝑒𝑟𝑚𝑎𝑛𝑒𝑛𝑡</m:t>
                    </m:r>
                    <m:r>
                      <a:rPr lang="nb-NO" sz="1100" b="0" i="1">
                        <a:solidFill>
                          <a:schemeClr val="tx1"/>
                        </a:solidFill>
                        <a:effectLst/>
                        <a:latin typeface="Cambria Math" panose="02040503050406030204" pitchFamily="18" charset="0"/>
                        <a:ea typeface="+mn-ea"/>
                        <a:cs typeface="+mn-cs"/>
                      </a:rPr>
                      <m:t> </m:t>
                    </m:r>
                    <m:r>
                      <a:rPr lang="nb-NO" sz="1100" b="0" i="1">
                        <a:solidFill>
                          <a:schemeClr val="tx1"/>
                        </a:solidFill>
                        <a:effectLst/>
                        <a:latin typeface="Cambria Math" panose="02040503050406030204" pitchFamily="18" charset="0"/>
                        <a:ea typeface="+mn-ea"/>
                        <a:cs typeface="+mn-cs"/>
                      </a:rPr>
                      <m:t>𝑎𝑛𝑑𝑒𝑙</m:t>
                    </m:r>
                    <m:r>
                      <a:rPr lang="nb-NO" sz="1100" b="0" i="1">
                        <a:solidFill>
                          <a:schemeClr val="tx1"/>
                        </a:solidFill>
                        <a:effectLst/>
                        <a:latin typeface="Cambria Math" panose="02040503050406030204" pitchFamily="18" charset="0"/>
                        <a:ea typeface="+mn-ea"/>
                        <a:cs typeface="+mn-cs"/>
                      </a:rPr>
                      <m:t>= </m:t>
                    </m:r>
                    <m:f>
                      <m:fPr>
                        <m:ctrlPr>
                          <a:rPr lang="nb-NO" sz="1100" b="0" i="1">
                            <a:solidFill>
                              <a:schemeClr val="tx1"/>
                            </a:solidFill>
                            <a:effectLst/>
                            <a:latin typeface="Cambria Math" panose="02040503050406030204" pitchFamily="18" charset="0"/>
                            <a:ea typeface="+mn-ea"/>
                            <a:cs typeface="+mn-cs"/>
                          </a:rPr>
                        </m:ctrlPr>
                      </m:fPr>
                      <m:num>
                        <m:r>
                          <a:rPr lang="nb-NO" sz="1100" b="0" i="1">
                            <a:solidFill>
                              <a:schemeClr val="tx1"/>
                            </a:solidFill>
                            <a:effectLst/>
                            <a:latin typeface="Cambria Math" panose="02040503050406030204" pitchFamily="18" charset="0"/>
                            <a:ea typeface="+mn-ea"/>
                            <a:cs typeface="+mn-cs"/>
                          </a:rPr>
                          <m:t>𝑃𝑒𝑟𝑚𝑎𝑛𝑒𝑛𝑡</m:t>
                        </m:r>
                        <m:r>
                          <a:rPr lang="nb-NO" sz="1100" b="0" i="1">
                            <a:solidFill>
                              <a:schemeClr val="tx1"/>
                            </a:solidFill>
                            <a:effectLst/>
                            <a:latin typeface="Cambria Math" panose="02040503050406030204" pitchFamily="18" charset="0"/>
                            <a:ea typeface="+mn-ea"/>
                            <a:cs typeface="+mn-cs"/>
                          </a:rPr>
                          <m:t> </m:t>
                        </m:r>
                        <m:r>
                          <a:rPr lang="nb-NO" sz="1100" b="0" i="1">
                            <a:solidFill>
                              <a:schemeClr val="tx1"/>
                            </a:solidFill>
                            <a:effectLst/>
                            <a:latin typeface="Cambria Math" panose="02040503050406030204" pitchFamily="18" charset="0"/>
                            <a:ea typeface="+mn-ea"/>
                            <a:cs typeface="+mn-cs"/>
                          </a:rPr>
                          <m:t>𝑒𝑛𝑑𝑟𝑖𝑛𝑔</m:t>
                        </m:r>
                      </m:num>
                      <m:den>
                        <m:r>
                          <a:rPr lang="nb-NO" sz="1100" b="0" i="1">
                            <a:solidFill>
                              <a:schemeClr val="tx1"/>
                            </a:solidFill>
                            <a:effectLst/>
                            <a:latin typeface="Cambria Math" panose="02040503050406030204" pitchFamily="18" charset="0"/>
                            <a:ea typeface="+mn-ea"/>
                            <a:cs typeface="+mn-cs"/>
                          </a:rPr>
                          <m:t>𝑉𝑒𝑘𝑡𝑒𝑛𝑑𝑟𝑖𝑛𝑔</m:t>
                        </m:r>
                      </m:den>
                    </m:f>
                  </m:oMath>
                </m:oMathPara>
              </a14:m>
              <a:endParaRPr lang="nb-NO">
                <a:effectLst/>
              </a:endParaRPr>
            </a:p>
            <a:p>
              <a:endParaRPr lang="nb-NO">
                <a:effectLst/>
              </a:endParaRPr>
            </a:p>
            <a:p>
              <a:r>
                <a:rPr lang="nb-NO" sz="1100">
                  <a:solidFill>
                    <a:schemeClr val="tx1"/>
                  </a:solidFill>
                  <a:effectLst/>
                  <a:latin typeface="+mn-lt"/>
                  <a:ea typeface="+mn-ea"/>
                  <a:cs typeface="+mn-cs"/>
                </a:rPr>
                <a:t>Verdiene er formatert som prosent i Excel.</a:t>
              </a:r>
              <a:endParaRPr lang="nb-NO">
                <a:effectLst/>
              </a:endParaRPr>
            </a:p>
            <a:p>
              <a:endParaRPr lang="nb-NO" sz="1100"/>
            </a:p>
          </xdr:txBody>
        </xdr:sp>
      </mc:Choice>
      <mc:Fallback xmlns="">
        <xdr:sp macro="" textlink="">
          <xdr:nvSpPr>
            <xdr:cNvPr id="3" name="TekstSylinder 2">
              <a:extLst>
                <a:ext uri="{FF2B5EF4-FFF2-40B4-BE49-F238E27FC236}">
                  <a16:creationId xmlns:a16="http://schemas.microsoft.com/office/drawing/2014/main" id="{1C35592C-6AB3-72BF-739F-3F8DF42020CE}"/>
                </a:ext>
              </a:extLst>
            </xdr:cNvPr>
            <xdr:cNvSpPr txBox="1"/>
          </xdr:nvSpPr>
          <xdr:spPr>
            <a:xfrm>
              <a:off x="5067300" y="1041400"/>
              <a:ext cx="3219450" cy="1695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nb-NO" sz="1100">
                  <a:solidFill>
                    <a:schemeClr val="tx1"/>
                  </a:solidFill>
                  <a:effectLst/>
                  <a:latin typeface="+mn-lt"/>
                  <a:ea typeface="+mn-ea"/>
                  <a:cs typeface="+mn-cs"/>
                </a:rPr>
                <a:t>Permanent andel av opptak (%) er beregnet som forholdet mellom gjennomsnittlig permanent vektendring og gjennomsnittlig vektendring.</a:t>
              </a:r>
            </a:p>
            <a:p>
              <a:endParaRPr lang="nb-NO">
                <a:effectLst/>
              </a:endParaRPr>
            </a:p>
            <a:p>
              <a:r>
                <a:rPr lang="nb-NO" sz="1100" b="0" i="0">
                  <a:solidFill>
                    <a:schemeClr val="tx1"/>
                  </a:solidFill>
                  <a:effectLst/>
                  <a:latin typeface="+mn-lt"/>
                  <a:ea typeface="+mn-ea"/>
                  <a:cs typeface="+mn-cs"/>
                </a:rPr>
                <a:t>𝑃𝑒𝑟𝑚𝑎𝑛𝑒𝑛𝑡 𝑎𝑛𝑑𝑒𝑙=  (𝑃𝑒𝑟𝑚𝑎𝑛𝑒𝑛𝑡 𝑒𝑛𝑑𝑟𝑖𝑛𝑔)/𝑉𝑒𝑘𝑡𝑒𝑛𝑑𝑟𝑖𝑛𝑔</a:t>
              </a:r>
              <a:endParaRPr lang="nb-NO">
                <a:effectLst/>
              </a:endParaRPr>
            </a:p>
            <a:p>
              <a:endParaRPr lang="nb-NO">
                <a:effectLst/>
              </a:endParaRPr>
            </a:p>
            <a:p>
              <a:r>
                <a:rPr lang="nb-NO" sz="1100">
                  <a:solidFill>
                    <a:schemeClr val="tx1"/>
                  </a:solidFill>
                  <a:effectLst/>
                  <a:latin typeface="+mn-lt"/>
                  <a:ea typeface="+mn-ea"/>
                  <a:cs typeface="+mn-cs"/>
                </a:rPr>
                <a:t>Verdiene er formatert som prosent i Excel.</a:t>
              </a:r>
              <a:endParaRPr lang="nb-NO">
                <a:effectLst/>
              </a:endParaRPr>
            </a:p>
            <a:p>
              <a:endParaRPr lang="nb-NO" sz="1100"/>
            </a:p>
          </xdr:txBody>
        </xdr:sp>
      </mc:Fallback>
    </mc:AlternateContent>
    <xdr:clientData/>
  </xdr:oneCellAnchor>
  <xdr:twoCellAnchor>
    <xdr:from>
      <xdr:col>0</xdr:col>
      <xdr:colOff>34922</xdr:colOff>
      <xdr:row>26</xdr:row>
      <xdr:rowOff>1</xdr:rowOff>
    </xdr:from>
    <xdr:to>
      <xdr:col>9</xdr:col>
      <xdr:colOff>482599</xdr:colOff>
      <xdr:row>52</xdr:row>
      <xdr:rowOff>76200</xdr:rowOff>
    </xdr:to>
    <xdr:graphicFrame macro="">
      <xdr:nvGraphicFramePr>
        <xdr:cNvPr id="4" name="Diagram 3">
          <a:extLst>
            <a:ext uri="{FF2B5EF4-FFF2-40B4-BE49-F238E27FC236}">
              <a16:creationId xmlns:a16="http://schemas.microsoft.com/office/drawing/2014/main" id="{3BF4FA09-422F-9B8A-4F34-3283C80CA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707571</xdr:colOff>
      <xdr:row>17</xdr:row>
      <xdr:rowOff>9071</xdr:rowOff>
    </xdr:from>
    <xdr:ext cx="3492501" cy="953466"/>
    <xdr:sp macro="" textlink="">
      <xdr:nvSpPr>
        <xdr:cNvPr id="5" name="TekstSylinder 4">
          <a:extLst>
            <a:ext uri="{FF2B5EF4-FFF2-40B4-BE49-F238E27FC236}">
              <a16:creationId xmlns:a16="http://schemas.microsoft.com/office/drawing/2014/main" id="{0ACA0826-AA00-0F1F-0B44-BCFB04A327A2}"/>
            </a:ext>
          </a:extLst>
        </xdr:cNvPr>
        <xdr:cNvSpPr txBox="1"/>
      </xdr:nvSpPr>
      <xdr:spPr>
        <a:xfrm>
          <a:off x="5433785" y="3519714"/>
          <a:ext cx="3492501"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a:t>Ved 60 °C oppstod store negative og svært høye prosentverdier. Dette skyldes at PLA-prøvene utviklet betydelig massetap og strukturell nedbrytning. Formelen for permanent andel av opptak gir derfor ikke lenger et fysisk representativt mål ved disse eksponeringsforholdene.</a:t>
          </a:r>
          <a:endParaRPr lang="nb-NO" sz="1100"/>
        </a:p>
      </xdr:txBody>
    </xdr:sp>
    <xdr:clientData/>
  </xdr:oneCellAnchor>
  <xdr:twoCellAnchor>
    <xdr:from>
      <xdr:col>5</xdr:col>
      <xdr:colOff>290286</xdr:colOff>
      <xdr:row>17</xdr:row>
      <xdr:rowOff>90713</xdr:rowOff>
    </xdr:from>
    <xdr:to>
      <xdr:col>5</xdr:col>
      <xdr:colOff>562429</xdr:colOff>
      <xdr:row>17</xdr:row>
      <xdr:rowOff>172356</xdr:rowOff>
    </xdr:to>
    <xdr:sp macro="" textlink="">
      <xdr:nvSpPr>
        <xdr:cNvPr id="6" name="Pil: høyre 5">
          <a:extLst>
            <a:ext uri="{FF2B5EF4-FFF2-40B4-BE49-F238E27FC236}">
              <a16:creationId xmlns:a16="http://schemas.microsoft.com/office/drawing/2014/main" id="{B7D6B0B0-A885-127B-4F78-3953A30B8DEA}"/>
            </a:ext>
          </a:extLst>
        </xdr:cNvPr>
        <xdr:cNvSpPr/>
      </xdr:nvSpPr>
      <xdr:spPr>
        <a:xfrm>
          <a:off x="5016500" y="3601356"/>
          <a:ext cx="272143" cy="81643"/>
        </a:xfrm>
        <a:prstGeom prst="rightArrow">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27213</xdr:colOff>
      <xdr:row>24</xdr:row>
      <xdr:rowOff>153308</xdr:rowOff>
    </xdr:from>
    <xdr:to>
      <xdr:col>13</xdr:col>
      <xdr:colOff>145142</xdr:colOff>
      <xdr:row>53</xdr:row>
      <xdr:rowOff>99786</xdr:rowOff>
    </xdr:to>
    <xdr:graphicFrame macro="">
      <xdr:nvGraphicFramePr>
        <xdr:cNvPr id="4" name="Diagram 3">
          <a:extLst>
            <a:ext uri="{FF2B5EF4-FFF2-40B4-BE49-F238E27FC236}">
              <a16:creationId xmlns:a16="http://schemas.microsoft.com/office/drawing/2014/main" id="{3C0D50C4-D000-2B8F-F93B-EB9E816C7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22223</xdr:colOff>
      <xdr:row>77</xdr:row>
      <xdr:rowOff>19050</xdr:rowOff>
    </xdr:from>
    <xdr:to>
      <xdr:col>11</xdr:col>
      <xdr:colOff>737052</xdr:colOff>
      <xdr:row>102</xdr:row>
      <xdr:rowOff>90714</xdr:rowOff>
    </xdr:to>
    <xdr:graphicFrame macro="">
      <xdr:nvGraphicFramePr>
        <xdr:cNvPr id="5" name="Diagram 4">
          <a:extLst>
            <a:ext uri="{FF2B5EF4-FFF2-40B4-BE49-F238E27FC236}">
              <a16:creationId xmlns:a16="http://schemas.microsoft.com/office/drawing/2014/main" id="{EA9858F9-2201-58C0-61A6-0FA595F49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14</xdr:col>
      <xdr:colOff>150813</xdr:colOff>
      <xdr:row>20</xdr:row>
      <xdr:rowOff>71438</xdr:rowOff>
    </xdr:from>
    <xdr:ext cx="2753959" cy="2675732"/>
    <xdr:sp macro="" textlink="">
      <xdr:nvSpPr>
        <xdr:cNvPr id="7" name="TekstSylinder 6">
          <a:extLst>
            <a:ext uri="{FF2B5EF4-FFF2-40B4-BE49-F238E27FC236}">
              <a16:creationId xmlns:a16="http://schemas.microsoft.com/office/drawing/2014/main" id="{E524F8D3-3E9E-BE9D-1A81-574DAFEF1DCB}"/>
            </a:ext>
          </a:extLst>
        </xdr:cNvPr>
        <xdr:cNvSpPr txBox="1"/>
      </xdr:nvSpPr>
      <xdr:spPr>
        <a:xfrm>
          <a:off x="10818813" y="4579938"/>
          <a:ext cx="2753959" cy="26757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nb-NO" sz="1100" b="1">
              <a:solidFill>
                <a:schemeClr val="tx1"/>
              </a:solidFill>
              <a:effectLst/>
              <a:latin typeface="+mn-lt"/>
              <a:ea typeface="+mn-ea"/>
              <a:cs typeface="+mn-cs"/>
            </a:rPr>
            <a:t>Dette diagrammet viser:</a:t>
          </a:r>
          <a:endParaRPr lang="nb-NO">
            <a:effectLst/>
          </a:endParaRPr>
        </a:p>
        <a:p>
          <a:r>
            <a:rPr lang="nb-NO" sz="1100">
              <a:solidFill>
                <a:schemeClr val="tx1"/>
              </a:solidFill>
              <a:effectLst/>
              <a:latin typeface="+mn-lt"/>
              <a:ea typeface="+mn-ea"/>
              <a:cs typeface="+mn-cs"/>
            </a:rPr>
            <a:t>1.</a:t>
          </a:r>
          <a:r>
            <a:rPr lang="nb-NO" sz="1100" baseline="0">
              <a:solidFill>
                <a:schemeClr val="tx1"/>
              </a:solidFill>
              <a:effectLst/>
              <a:latin typeface="+mn-lt"/>
              <a:ea typeface="+mn-ea"/>
              <a:cs typeface="+mn-cs"/>
            </a:rPr>
            <a:t> H</a:t>
          </a:r>
          <a:r>
            <a:rPr lang="nb-NO" sz="1100">
              <a:solidFill>
                <a:schemeClr val="tx1"/>
              </a:solidFill>
              <a:effectLst/>
              <a:latin typeface="+mn-lt"/>
              <a:ea typeface="+mn-ea"/>
              <a:cs typeface="+mn-cs"/>
            </a:rPr>
            <a:t>vor mye vann materialet tar opp </a:t>
          </a:r>
          <a:endParaRPr lang="nb-NO">
            <a:effectLst/>
          </a:endParaRPr>
        </a:p>
        <a:p>
          <a:r>
            <a:rPr lang="nb-NO" sz="1100">
              <a:solidFill>
                <a:schemeClr val="tx1"/>
              </a:solidFill>
              <a:effectLst/>
              <a:latin typeface="+mn-lt"/>
              <a:ea typeface="+mn-ea"/>
              <a:cs typeface="+mn-cs"/>
            </a:rPr>
            <a:t>2.</a:t>
          </a:r>
          <a:r>
            <a:rPr lang="nb-NO" sz="1100" baseline="0">
              <a:solidFill>
                <a:schemeClr val="tx1"/>
              </a:solidFill>
              <a:effectLst/>
              <a:latin typeface="+mn-lt"/>
              <a:ea typeface="+mn-ea"/>
              <a:cs typeface="+mn-cs"/>
            </a:rPr>
            <a:t> H</a:t>
          </a:r>
          <a:r>
            <a:rPr lang="nb-NO" sz="1100">
              <a:solidFill>
                <a:schemeClr val="tx1"/>
              </a:solidFill>
              <a:effectLst/>
              <a:latin typeface="+mn-lt"/>
              <a:ea typeface="+mn-ea"/>
              <a:cs typeface="+mn-cs"/>
            </a:rPr>
            <a:t>vordan temperatur påvirker vannopptaket </a:t>
          </a:r>
          <a:endParaRPr lang="nb-NO">
            <a:effectLst/>
          </a:endParaRPr>
        </a:p>
        <a:p>
          <a:r>
            <a:rPr lang="nb-NO" sz="1100">
              <a:solidFill>
                <a:schemeClr val="tx1"/>
              </a:solidFill>
              <a:effectLst/>
              <a:latin typeface="+mn-lt"/>
              <a:ea typeface="+mn-ea"/>
              <a:cs typeface="+mn-cs"/>
            </a:rPr>
            <a:t>3.</a:t>
          </a:r>
          <a:r>
            <a:rPr lang="nb-NO" sz="1100" baseline="0">
              <a:solidFill>
                <a:schemeClr val="tx1"/>
              </a:solidFill>
              <a:effectLst/>
              <a:latin typeface="+mn-lt"/>
              <a:ea typeface="+mn-ea"/>
              <a:cs typeface="+mn-cs"/>
            </a:rPr>
            <a:t> F</a:t>
          </a:r>
          <a:r>
            <a:rPr lang="nb-NO" sz="1100">
              <a:solidFill>
                <a:schemeClr val="tx1"/>
              </a:solidFill>
              <a:effectLst/>
              <a:latin typeface="+mn-lt"/>
              <a:ea typeface="+mn-ea"/>
              <a:cs typeface="+mn-cs"/>
            </a:rPr>
            <a:t>orskjellen mellom tørre og våte prøver </a:t>
          </a:r>
          <a:endParaRPr lang="nb-NO">
            <a:effectLst/>
          </a:endParaRPr>
        </a:p>
        <a:p>
          <a:r>
            <a:rPr lang="nb-NO" sz="1100">
              <a:solidFill>
                <a:schemeClr val="tx1"/>
              </a:solidFill>
              <a:effectLst/>
              <a:latin typeface="+mn-lt"/>
              <a:ea typeface="+mn-ea"/>
              <a:cs typeface="+mn-cs"/>
            </a:rPr>
            <a:t>4. Utviklingen over tid</a:t>
          </a:r>
        </a:p>
        <a:p>
          <a:endParaRPr lang="nb-NO" sz="1100">
            <a:solidFill>
              <a:schemeClr val="tx1"/>
            </a:solidFill>
            <a:effectLst/>
            <a:latin typeface="+mn-lt"/>
            <a:ea typeface="+mn-ea"/>
            <a:cs typeface="+mn-cs"/>
          </a:endParaRPr>
        </a:p>
        <a:p>
          <a:r>
            <a:rPr lang="nb-NO" sz="1100" b="1">
              <a:solidFill>
                <a:schemeClr val="tx1"/>
              </a:solidFill>
              <a:effectLst/>
              <a:latin typeface="+mn-lt"/>
              <a:ea typeface="+mn-ea"/>
              <a:cs typeface="+mn-cs"/>
            </a:rPr>
            <a:t>Feilfeltene viser:</a:t>
          </a:r>
          <a:endParaRPr lang="nb-NO">
            <a:effectLst/>
          </a:endParaRPr>
        </a:p>
        <a:p>
          <a:r>
            <a:rPr lang="nb-NO" sz="1100">
              <a:solidFill>
                <a:schemeClr val="tx1"/>
              </a:solidFill>
              <a:effectLst/>
              <a:latin typeface="+mn-lt"/>
              <a:ea typeface="+mn-ea"/>
              <a:cs typeface="+mn-cs"/>
            </a:rPr>
            <a:t>- variasjon mellom prøvene </a:t>
          </a:r>
          <a:endParaRPr lang="nb-NO">
            <a:effectLst/>
          </a:endParaRPr>
        </a:p>
        <a:p>
          <a:r>
            <a:rPr lang="nb-NO" sz="1100">
              <a:solidFill>
                <a:schemeClr val="tx1"/>
              </a:solidFill>
              <a:effectLst/>
              <a:latin typeface="+mn-lt"/>
              <a:ea typeface="+mn-ea"/>
              <a:cs typeface="+mn-cs"/>
            </a:rPr>
            <a:t>- hvor spredt målingene er </a:t>
          </a:r>
          <a:endParaRPr lang="nb-NO">
            <a:effectLst/>
          </a:endParaRPr>
        </a:p>
        <a:p>
          <a:r>
            <a:rPr lang="nb-NO" sz="1100" b="1">
              <a:solidFill>
                <a:schemeClr val="tx1"/>
              </a:solidFill>
              <a:effectLst/>
              <a:latin typeface="+mn-lt"/>
              <a:ea typeface="+mn-ea"/>
              <a:cs typeface="+mn-cs"/>
            </a:rPr>
            <a:t>Små feilfelt:</a:t>
          </a:r>
          <a:endParaRPr lang="nb-NO">
            <a:effectLst/>
          </a:endParaRPr>
        </a:p>
        <a:p>
          <a:r>
            <a:rPr lang="nb-NO" sz="1100">
              <a:solidFill>
                <a:schemeClr val="tx1"/>
              </a:solidFill>
              <a:effectLst/>
              <a:latin typeface="+mn-lt"/>
              <a:ea typeface="+mn-ea"/>
              <a:cs typeface="+mn-cs"/>
            </a:rPr>
            <a:t>→ prøvene oppfører seg likt</a:t>
          </a:r>
          <a:endParaRPr lang="nb-NO">
            <a:effectLst/>
          </a:endParaRPr>
        </a:p>
        <a:p>
          <a:r>
            <a:rPr lang="nb-NO" sz="1100" b="1">
              <a:solidFill>
                <a:schemeClr val="tx1"/>
              </a:solidFill>
              <a:effectLst/>
              <a:latin typeface="+mn-lt"/>
              <a:ea typeface="+mn-ea"/>
              <a:cs typeface="+mn-cs"/>
            </a:rPr>
            <a:t>Store feilfelt:</a:t>
          </a:r>
          <a:endParaRPr lang="nb-NO">
            <a:effectLst/>
          </a:endParaRPr>
        </a:p>
        <a:p>
          <a:r>
            <a:rPr lang="nb-NO" sz="1100">
              <a:solidFill>
                <a:schemeClr val="tx1"/>
              </a:solidFill>
              <a:effectLst/>
              <a:latin typeface="+mn-lt"/>
              <a:ea typeface="+mn-ea"/>
              <a:cs typeface="+mn-cs"/>
            </a:rPr>
            <a:t>→ større variasjon mellom prøvene</a:t>
          </a:r>
          <a:endParaRPr lang="nb-NO">
            <a:effectLst/>
          </a:endParaRPr>
        </a:p>
        <a:p>
          <a:endParaRPr lang="nb-NO">
            <a:effectLst/>
          </a:endParaRPr>
        </a:p>
        <a:p>
          <a:endParaRPr lang="nb-NO" sz="1100"/>
        </a:p>
      </xdr:txBody>
    </xdr:sp>
    <xdr:clientData/>
  </xdr:oneCellAnchor>
  <xdr:oneCellAnchor>
    <xdr:from>
      <xdr:col>12</xdr:col>
      <xdr:colOff>396875</xdr:colOff>
      <xdr:row>76</xdr:row>
      <xdr:rowOff>127000</xdr:rowOff>
    </xdr:from>
    <xdr:ext cx="3008312" cy="2476500"/>
    <xdr:sp macro="" textlink="">
      <xdr:nvSpPr>
        <xdr:cNvPr id="8" name="TekstSylinder 7">
          <a:extLst>
            <a:ext uri="{FF2B5EF4-FFF2-40B4-BE49-F238E27FC236}">
              <a16:creationId xmlns:a16="http://schemas.microsoft.com/office/drawing/2014/main" id="{5DCC76BF-7412-E42B-048D-EF5261A500F4}"/>
            </a:ext>
          </a:extLst>
        </xdr:cNvPr>
        <xdr:cNvSpPr txBox="1"/>
      </xdr:nvSpPr>
      <xdr:spPr>
        <a:xfrm>
          <a:off x="9540875" y="15414625"/>
          <a:ext cx="3008312" cy="2476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nb-NO" sz="1100" b="1">
              <a:solidFill>
                <a:schemeClr val="tx1"/>
              </a:solidFill>
              <a:effectLst/>
              <a:latin typeface="+mn-lt"/>
              <a:ea typeface="+mn-ea"/>
              <a:cs typeface="+mn-cs"/>
            </a:rPr>
            <a:t>Dette diagrammet viser:</a:t>
          </a:r>
          <a:endParaRPr lang="nb-NO">
            <a:effectLst/>
          </a:endParaRPr>
        </a:p>
        <a:p>
          <a:r>
            <a:rPr lang="nb-NO" sz="1100">
              <a:solidFill>
                <a:schemeClr val="tx1"/>
              </a:solidFill>
              <a:effectLst/>
              <a:latin typeface="+mn-lt"/>
              <a:ea typeface="+mn-ea"/>
              <a:cs typeface="+mn-cs"/>
            </a:rPr>
            <a:t>1. Hva som blir igjen etter tørking </a:t>
          </a:r>
          <a:endParaRPr lang="nb-NO">
            <a:effectLst/>
          </a:endParaRPr>
        </a:p>
        <a:p>
          <a:r>
            <a:rPr lang="nb-NO" sz="1100">
              <a:solidFill>
                <a:schemeClr val="tx1"/>
              </a:solidFill>
              <a:effectLst/>
              <a:latin typeface="+mn-lt"/>
              <a:ea typeface="+mn-ea"/>
              <a:cs typeface="+mn-cs"/>
            </a:rPr>
            <a:t>2.</a:t>
          </a:r>
          <a:r>
            <a:rPr lang="nb-NO" sz="1100" baseline="0">
              <a:solidFill>
                <a:schemeClr val="tx1"/>
              </a:solidFill>
              <a:effectLst/>
              <a:latin typeface="+mn-lt"/>
              <a:ea typeface="+mn-ea"/>
              <a:cs typeface="+mn-cs"/>
            </a:rPr>
            <a:t> H</a:t>
          </a:r>
          <a:r>
            <a:rPr lang="nb-NO" sz="1100">
              <a:solidFill>
                <a:schemeClr val="tx1"/>
              </a:solidFill>
              <a:effectLst/>
              <a:latin typeface="+mn-lt"/>
              <a:ea typeface="+mn-ea"/>
              <a:cs typeface="+mn-cs"/>
            </a:rPr>
            <a:t>vor mye vann/salt som ikke forsvinner ut igjen</a:t>
          </a:r>
          <a:endParaRPr lang="nb-NO">
            <a:effectLst/>
          </a:endParaRPr>
        </a:p>
        <a:p>
          <a:r>
            <a:rPr lang="nb-NO" sz="1100">
              <a:solidFill>
                <a:schemeClr val="tx1"/>
              </a:solidFill>
              <a:effectLst/>
              <a:latin typeface="+mn-lt"/>
              <a:ea typeface="+mn-ea"/>
              <a:cs typeface="+mn-cs"/>
            </a:rPr>
            <a:t>3. Strukturelle endringer som for eksempel avskalling av materialer kan gi minusverdier. </a:t>
          </a:r>
        </a:p>
        <a:p>
          <a:endParaRPr lang="nb-NO">
            <a:effectLst/>
          </a:endParaRPr>
        </a:p>
        <a:p>
          <a:r>
            <a:rPr lang="nb-NO" sz="1100" b="1">
              <a:solidFill>
                <a:schemeClr val="tx1"/>
              </a:solidFill>
              <a:effectLst/>
              <a:latin typeface="+mn-lt"/>
              <a:ea typeface="+mn-ea"/>
              <a:cs typeface="+mn-cs"/>
            </a:rPr>
            <a:t>Feilfeltene viser:</a:t>
          </a:r>
          <a:endParaRPr lang="nb-NO">
            <a:effectLst/>
          </a:endParaRPr>
        </a:p>
        <a:p>
          <a:r>
            <a:rPr lang="nb-NO" sz="1100">
              <a:solidFill>
                <a:schemeClr val="tx1"/>
              </a:solidFill>
              <a:effectLst/>
              <a:latin typeface="+mn-lt"/>
              <a:ea typeface="+mn-ea"/>
              <a:cs typeface="+mn-cs"/>
            </a:rPr>
            <a:t>- variasjon mellom prøvene </a:t>
          </a:r>
          <a:endParaRPr lang="nb-NO">
            <a:effectLst/>
          </a:endParaRPr>
        </a:p>
        <a:p>
          <a:r>
            <a:rPr lang="nb-NO" sz="1100">
              <a:solidFill>
                <a:schemeClr val="tx1"/>
              </a:solidFill>
              <a:effectLst/>
              <a:latin typeface="+mn-lt"/>
              <a:ea typeface="+mn-ea"/>
              <a:cs typeface="+mn-cs"/>
            </a:rPr>
            <a:t>- hvor spredt målingene er </a:t>
          </a:r>
          <a:endParaRPr lang="nb-NO">
            <a:effectLst/>
          </a:endParaRPr>
        </a:p>
        <a:p>
          <a:r>
            <a:rPr lang="nb-NO" sz="1100" b="1">
              <a:solidFill>
                <a:schemeClr val="tx1"/>
              </a:solidFill>
              <a:effectLst/>
              <a:latin typeface="+mn-lt"/>
              <a:ea typeface="+mn-ea"/>
              <a:cs typeface="+mn-cs"/>
            </a:rPr>
            <a:t>Små feilfelt:</a:t>
          </a:r>
          <a:endParaRPr lang="nb-NO">
            <a:effectLst/>
          </a:endParaRPr>
        </a:p>
        <a:p>
          <a:r>
            <a:rPr lang="nb-NO" sz="1100">
              <a:solidFill>
                <a:schemeClr val="tx1"/>
              </a:solidFill>
              <a:effectLst/>
              <a:latin typeface="+mn-lt"/>
              <a:ea typeface="+mn-ea"/>
              <a:cs typeface="+mn-cs"/>
            </a:rPr>
            <a:t>→ prøvene oppfører seg likt</a:t>
          </a:r>
          <a:endParaRPr lang="nb-NO">
            <a:effectLst/>
          </a:endParaRPr>
        </a:p>
        <a:p>
          <a:r>
            <a:rPr lang="nb-NO" sz="1100" b="1">
              <a:solidFill>
                <a:schemeClr val="tx1"/>
              </a:solidFill>
              <a:effectLst/>
              <a:latin typeface="+mn-lt"/>
              <a:ea typeface="+mn-ea"/>
              <a:cs typeface="+mn-cs"/>
            </a:rPr>
            <a:t>Store feilfelt:</a:t>
          </a:r>
          <a:endParaRPr lang="nb-NO">
            <a:effectLst/>
          </a:endParaRPr>
        </a:p>
        <a:p>
          <a:r>
            <a:rPr lang="nb-NO" sz="1100">
              <a:solidFill>
                <a:schemeClr val="tx1"/>
              </a:solidFill>
              <a:effectLst/>
              <a:latin typeface="+mn-lt"/>
              <a:ea typeface="+mn-ea"/>
              <a:cs typeface="+mn-cs"/>
            </a:rPr>
            <a:t>→ større variasjon mellom prøvene</a:t>
          </a:r>
          <a:endParaRPr lang="nb-NO">
            <a:effectLst/>
          </a:endParaRPr>
        </a:p>
        <a:p>
          <a:endParaRPr lang="nb-NO"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5</xdr:col>
      <xdr:colOff>304800</xdr:colOff>
      <xdr:row>3</xdr:row>
      <xdr:rowOff>184150</xdr:rowOff>
    </xdr:from>
    <xdr:ext cx="3721100" cy="1619250"/>
    <mc:AlternateContent xmlns:mc="http://schemas.openxmlformats.org/markup-compatibility/2006" xmlns:a14="http://schemas.microsoft.com/office/drawing/2010/main">
      <mc:Choice Requires="a14">
        <xdr:sp macro="" textlink="">
          <xdr:nvSpPr>
            <xdr:cNvPr id="2" name="TekstSylinder 1">
              <a:extLst>
                <a:ext uri="{FF2B5EF4-FFF2-40B4-BE49-F238E27FC236}">
                  <a16:creationId xmlns:a16="http://schemas.microsoft.com/office/drawing/2014/main" id="{4F13B92F-799D-E604-0C03-0DC57D382B03}"/>
                </a:ext>
              </a:extLst>
            </xdr:cNvPr>
            <xdr:cNvSpPr txBox="1"/>
          </xdr:nvSpPr>
          <xdr:spPr>
            <a:xfrm>
              <a:off x="6299200" y="996950"/>
              <a:ext cx="3721100" cy="161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nb-NO" sz="1100">
                  <a:solidFill>
                    <a:schemeClr val="tx1"/>
                  </a:solidFill>
                  <a:effectLst/>
                  <a:latin typeface="+mn-lt"/>
                  <a:ea typeface="+mn-ea"/>
                  <a:cs typeface="+mn-cs"/>
                </a:rPr>
                <a:t>Permanent andel av opptak (%) er beregnet som forholdet mellom gjennomsnittlig permanent vektendring og gjennomsnittlig vektendring.</a:t>
              </a:r>
            </a:p>
            <a:p>
              <a:endParaRPr lang="nb-NO">
                <a:effectLst/>
              </a:endParaRPr>
            </a:p>
            <a:p>
              <a:pPr/>
              <a14:m>
                <m:oMathPara xmlns:m="http://schemas.openxmlformats.org/officeDocument/2006/math">
                  <m:oMathParaPr>
                    <m:jc m:val="centerGroup"/>
                  </m:oMathParaPr>
                  <m:oMath xmlns:m="http://schemas.openxmlformats.org/officeDocument/2006/math">
                    <m:r>
                      <a:rPr lang="nb-NO" sz="1100" b="0" i="1">
                        <a:solidFill>
                          <a:schemeClr val="tx1"/>
                        </a:solidFill>
                        <a:effectLst/>
                        <a:latin typeface="Cambria Math" panose="02040503050406030204" pitchFamily="18" charset="0"/>
                        <a:ea typeface="+mn-ea"/>
                        <a:cs typeface="+mn-cs"/>
                      </a:rPr>
                      <m:t>𝑃𝑒𝑟𝑚𝑎𝑛𝑒𝑛𝑡</m:t>
                    </m:r>
                    <m:r>
                      <a:rPr lang="nb-NO" sz="1100" b="0" i="1">
                        <a:solidFill>
                          <a:schemeClr val="tx1"/>
                        </a:solidFill>
                        <a:effectLst/>
                        <a:latin typeface="Cambria Math" panose="02040503050406030204" pitchFamily="18" charset="0"/>
                        <a:ea typeface="+mn-ea"/>
                        <a:cs typeface="+mn-cs"/>
                      </a:rPr>
                      <m:t> </m:t>
                    </m:r>
                    <m:r>
                      <a:rPr lang="nb-NO" sz="1100" b="0" i="1">
                        <a:solidFill>
                          <a:schemeClr val="tx1"/>
                        </a:solidFill>
                        <a:effectLst/>
                        <a:latin typeface="Cambria Math" panose="02040503050406030204" pitchFamily="18" charset="0"/>
                        <a:ea typeface="+mn-ea"/>
                        <a:cs typeface="+mn-cs"/>
                      </a:rPr>
                      <m:t>𝑎𝑛𝑑𝑒𝑙</m:t>
                    </m:r>
                    <m:r>
                      <a:rPr lang="nb-NO" sz="1100" b="0" i="1">
                        <a:solidFill>
                          <a:schemeClr val="tx1"/>
                        </a:solidFill>
                        <a:effectLst/>
                        <a:latin typeface="Cambria Math" panose="02040503050406030204" pitchFamily="18" charset="0"/>
                        <a:ea typeface="+mn-ea"/>
                        <a:cs typeface="+mn-cs"/>
                      </a:rPr>
                      <m:t>= </m:t>
                    </m:r>
                    <m:f>
                      <m:fPr>
                        <m:ctrlPr>
                          <a:rPr lang="nb-NO" sz="1100" b="0" i="1">
                            <a:solidFill>
                              <a:schemeClr val="tx1"/>
                            </a:solidFill>
                            <a:effectLst/>
                            <a:latin typeface="Cambria Math" panose="02040503050406030204" pitchFamily="18" charset="0"/>
                            <a:ea typeface="+mn-ea"/>
                            <a:cs typeface="+mn-cs"/>
                          </a:rPr>
                        </m:ctrlPr>
                      </m:fPr>
                      <m:num>
                        <m:r>
                          <a:rPr lang="nb-NO" sz="1100" b="0" i="1">
                            <a:solidFill>
                              <a:schemeClr val="tx1"/>
                            </a:solidFill>
                            <a:effectLst/>
                            <a:latin typeface="Cambria Math" panose="02040503050406030204" pitchFamily="18" charset="0"/>
                            <a:ea typeface="+mn-ea"/>
                            <a:cs typeface="+mn-cs"/>
                          </a:rPr>
                          <m:t>𝑃𝑒𝑟𝑚𝑎𝑛𝑒𝑛𝑡</m:t>
                        </m:r>
                        <m:r>
                          <a:rPr lang="nb-NO" sz="1100" b="0" i="1">
                            <a:solidFill>
                              <a:schemeClr val="tx1"/>
                            </a:solidFill>
                            <a:effectLst/>
                            <a:latin typeface="Cambria Math" panose="02040503050406030204" pitchFamily="18" charset="0"/>
                            <a:ea typeface="+mn-ea"/>
                            <a:cs typeface="+mn-cs"/>
                          </a:rPr>
                          <m:t> </m:t>
                        </m:r>
                        <m:r>
                          <a:rPr lang="nb-NO" sz="1100" b="0" i="1">
                            <a:solidFill>
                              <a:schemeClr val="tx1"/>
                            </a:solidFill>
                            <a:effectLst/>
                            <a:latin typeface="Cambria Math" panose="02040503050406030204" pitchFamily="18" charset="0"/>
                            <a:ea typeface="+mn-ea"/>
                            <a:cs typeface="+mn-cs"/>
                          </a:rPr>
                          <m:t>𝑒𝑛𝑑𝑟𝑖𝑛𝑔</m:t>
                        </m:r>
                      </m:num>
                      <m:den>
                        <m:r>
                          <a:rPr lang="nb-NO" sz="1100" b="0" i="1">
                            <a:solidFill>
                              <a:schemeClr val="tx1"/>
                            </a:solidFill>
                            <a:effectLst/>
                            <a:latin typeface="Cambria Math" panose="02040503050406030204" pitchFamily="18" charset="0"/>
                            <a:ea typeface="+mn-ea"/>
                            <a:cs typeface="+mn-cs"/>
                          </a:rPr>
                          <m:t>𝑉𝑒𝑘𝑡𝑒𝑛𝑑𝑟𝑖𝑛𝑔</m:t>
                        </m:r>
                      </m:den>
                    </m:f>
                  </m:oMath>
                </m:oMathPara>
              </a14:m>
              <a:endParaRPr lang="nb-NO">
                <a:effectLst/>
              </a:endParaRPr>
            </a:p>
            <a:p>
              <a:endParaRPr lang="nb-NO" sz="1100">
                <a:solidFill>
                  <a:schemeClr val="tx1"/>
                </a:solidFill>
                <a:effectLst/>
                <a:latin typeface="+mn-lt"/>
                <a:ea typeface="+mn-ea"/>
                <a:cs typeface="+mn-cs"/>
              </a:endParaRPr>
            </a:p>
            <a:p>
              <a:r>
                <a:rPr lang="nb-NO" sz="1100">
                  <a:solidFill>
                    <a:schemeClr val="tx1"/>
                  </a:solidFill>
                  <a:effectLst/>
                  <a:latin typeface="+mn-lt"/>
                  <a:ea typeface="+mn-ea"/>
                  <a:cs typeface="+mn-cs"/>
                </a:rPr>
                <a:t>Verdiene er formatert som prosent i Excel.</a:t>
              </a:r>
            </a:p>
            <a:p>
              <a:endParaRPr lang="nb-NO">
                <a:effectLst/>
              </a:endParaRPr>
            </a:p>
            <a:p>
              <a:endParaRPr lang="nb-NO" sz="1100"/>
            </a:p>
          </xdr:txBody>
        </xdr:sp>
      </mc:Choice>
      <mc:Fallback xmlns="">
        <xdr:sp macro="" textlink="">
          <xdr:nvSpPr>
            <xdr:cNvPr id="2" name="TekstSylinder 1">
              <a:extLst>
                <a:ext uri="{FF2B5EF4-FFF2-40B4-BE49-F238E27FC236}">
                  <a16:creationId xmlns:a16="http://schemas.microsoft.com/office/drawing/2014/main" id="{4F13B92F-799D-E604-0C03-0DC57D382B03}"/>
                </a:ext>
              </a:extLst>
            </xdr:cNvPr>
            <xdr:cNvSpPr txBox="1"/>
          </xdr:nvSpPr>
          <xdr:spPr>
            <a:xfrm>
              <a:off x="6299200" y="996950"/>
              <a:ext cx="3721100" cy="161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nb-NO" sz="1100">
                  <a:solidFill>
                    <a:schemeClr val="tx1"/>
                  </a:solidFill>
                  <a:effectLst/>
                  <a:latin typeface="+mn-lt"/>
                  <a:ea typeface="+mn-ea"/>
                  <a:cs typeface="+mn-cs"/>
                </a:rPr>
                <a:t>Permanent andel av opptak (%) er beregnet som forholdet mellom gjennomsnittlig permanent vektendring og gjennomsnittlig vektendring.</a:t>
              </a:r>
            </a:p>
            <a:p>
              <a:endParaRPr lang="nb-NO">
                <a:effectLst/>
              </a:endParaRPr>
            </a:p>
            <a:p>
              <a:r>
                <a:rPr lang="nb-NO" sz="1100" b="0" i="0">
                  <a:solidFill>
                    <a:schemeClr val="tx1"/>
                  </a:solidFill>
                  <a:effectLst/>
                  <a:latin typeface="+mn-lt"/>
                  <a:ea typeface="+mn-ea"/>
                  <a:cs typeface="+mn-cs"/>
                </a:rPr>
                <a:t>𝑃𝑒𝑟𝑚𝑎𝑛𝑒𝑛𝑡 𝑎𝑛𝑑𝑒𝑙=  (𝑃𝑒𝑟𝑚𝑎𝑛𝑒𝑛𝑡 𝑒𝑛𝑑𝑟𝑖𝑛𝑔)/𝑉𝑒𝑘𝑡𝑒𝑛𝑑𝑟𝑖𝑛𝑔</a:t>
              </a:r>
              <a:endParaRPr lang="nb-NO">
                <a:effectLst/>
              </a:endParaRPr>
            </a:p>
            <a:p>
              <a:endParaRPr lang="nb-NO" sz="1100">
                <a:solidFill>
                  <a:schemeClr val="tx1"/>
                </a:solidFill>
                <a:effectLst/>
                <a:latin typeface="+mn-lt"/>
                <a:ea typeface="+mn-ea"/>
                <a:cs typeface="+mn-cs"/>
              </a:endParaRPr>
            </a:p>
            <a:p>
              <a:r>
                <a:rPr lang="nb-NO" sz="1100">
                  <a:solidFill>
                    <a:schemeClr val="tx1"/>
                  </a:solidFill>
                  <a:effectLst/>
                  <a:latin typeface="+mn-lt"/>
                  <a:ea typeface="+mn-ea"/>
                  <a:cs typeface="+mn-cs"/>
                </a:rPr>
                <a:t>Verdiene er formatert som prosent i Excel.</a:t>
              </a:r>
            </a:p>
            <a:p>
              <a:endParaRPr lang="nb-NO">
                <a:effectLst/>
              </a:endParaRPr>
            </a:p>
            <a:p>
              <a:endParaRPr lang="nb-NO" sz="1100"/>
            </a:p>
          </xdr:txBody>
        </xdr:sp>
      </mc:Fallback>
    </mc:AlternateContent>
    <xdr:clientData/>
  </xdr:oneCellAnchor>
  <xdr:twoCellAnchor>
    <xdr:from>
      <xdr:col>0</xdr:col>
      <xdr:colOff>0</xdr:colOff>
      <xdr:row>26</xdr:row>
      <xdr:rowOff>6350</xdr:rowOff>
    </xdr:from>
    <xdr:to>
      <xdr:col>6</xdr:col>
      <xdr:colOff>6350</xdr:colOff>
      <xdr:row>47</xdr:row>
      <xdr:rowOff>177800</xdr:rowOff>
    </xdr:to>
    <xdr:graphicFrame macro="">
      <xdr:nvGraphicFramePr>
        <xdr:cNvPr id="3" name="Diagram 2">
          <a:extLst>
            <a:ext uri="{FF2B5EF4-FFF2-40B4-BE49-F238E27FC236}">
              <a16:creationId xmlns:a16="http://schemas.microsoft.com/office/drawing/2014/main" id="{D7294760-4CB9-6B2C-3026-E9ACE08FA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169863</xdr:colOff>
      <xdr:row>76</xdr:row>
      <xdr:rowOff>90488</xdr:rowOff>
    </xdr:from>
    <xdr:to>
      <xdr:col>11</xdr:col>
      <xdr:colOff>79377</xdr:colOff>
      <xdr:row>100</xdr:row>
      <xdr:rowOff>134938</xdr:rowOff>
    </xdr:to>
    <xdr:graphicFrame macro="">
      <xdr:nvGraphicFramePr>
        <xdr:cNvPr id="3" name="Diagram 2">
          <a:extLst>
            <a:ext uri="{FF2B5EF4-FFF2-40B4-BE49-F238E27FC236}">
              <a16:creationId xmlns:a16="http://schemas.microsoft.com/office/drawing/2014/main" id="{0D8D79A1-4749-520B-27E8-5478A4B70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13</xdr:col>
      <xdr:colOff>341312</xdr:colOff>
      <xdr:row>25</xdr:row>
      <xdr:rowOff>179916</xdr:rowOff>
    </xdr:from>
    <xdr:ext cx="3454857" cy="1391728"/>
    <xdr:sp macro="" textlink="">
      <xdr:nvSpPr>
        <xdr:cNvPr id="4" name="TekstSylinder 3">
          <a:extLst>
            <a:ext uri="{FF2B5EF4-FFF2-40B4-BE49-F238E27FC236}">
              <a16:creationId xmlns:a16="http://schemas.microsoft.com/office/drawing/2014/main" id="{FDBB9DA9-E523-A12B-C55F-C52C03EB1AD7}"/>
            </a:ext>
          </a:extLst>
        </xdr:cNvPr>
        <xdr:cNvSpPr txBox="1"/>
      </xdr:nvSpPr>
      <xdr:spPr>
        <a:xfrm>
          <a:off x="10247312" y="5333999"/>
          <a:ext cx="3454857" cy="13917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nb-NO" sz="1600" b="1"/>
            <a:t>Dette diagrammet viser:</a:t>
          </a:r>
        </a:p>
        <a:p>
          <a:r>
            <a:rPr lang="nb-NO" sz="1400"/>
            <a:t>1.</a:t>
          </a:r>
          <a:r>
            <a:rPr lang="nb-NO" sz="1400" baseline="0"/>
            <a:t> H</a:t>
          </a:r>
          <a:r>
            <a:rPr lang="nb-NO" sz="1400"/>
            <a:t>vor mye vann materialet tar opp </a:t>
          </a:r>
        </a:p>
        <a:p>
          <a:r>
            <a:rPr lang="nb-NO" sz="1400"/>
            <a:t>2.</a:t>
          </a:r>
          <a:r>
            <a:rPr lang="nb-NO" sz="1400" baseline="0"/>
            <a:t> H</a:t>
          </a:r>
          <a:r>
            <a:rPr lang="nb-NO" sz="1400"/>
            <a:t>vordan temperatur påvirker vannopptaket </a:t>
          </a:r>
        </a:p>
        <a:p>
          <a:r>
            <a:rPr lang="nb-NO" sz="1400"/>
            <a:t>3.</a:t>
          </a:r>
          <a:r>
            <a:rPr lang="nb-NO" sz="1400" baseline="0"/>
            <a:t> F</a:t>
          </a:r>
          <a:r>
            <a:rPr lang="nb-NO" sz="1400"/>
            <a:t>orskjellen mellom tørre og våte prøver </a:t>
          </a:r>
        </a:p>
        <a:p>
          <a:r>
            <a:rPr lang="nb-NO" sz="1400"/>
            <a:t>4. Utviklingen over tid</a:t>
          </a:r>
        </a:p>
        <a:p>
          <a:endParaRPr lang="nb-NO" sz="1100"/>
        </a:p>
      </xdr:txBody>
    </xdr:sp>
    <xdr:clientData/>
  </xdr:oneCellAnchor>
  <xdr:twoCellAnchor>
    <xdr:from>
      <xdr:col>0</xdr:col>
      <xdr:colOff>0</xdr:colOff>
      <xdr:row>25</xdr:row>
      <xdr:rowOff>180181</xdr:rowOff>
    </xdr:from>
    <xdr:to>
      <xdr:col>13</xdr:col>
      <xdr:colOff>7938</xdr:colOff>
      <xdr:row>52</xdr:row>
      <xdr:rowOff>166686</xdr:rowOff>
    </xdr:to>
    <xdr:graphicFrame macro="">
      <xdr:nvGraphicFramePr>
        <xdr:cNvPr id="7" name="Diagram 6">
          <a:extLst>
            <a:ext uri="{FF2B5EF4-FFF2-40B4-BE49-F238E27FC236}">
              <a16:creationId xmlns:a16="http://schemas.microsoft.com/office/drawing/2014/main" id="{B55ADAFD-1F81-43CE-13CC-E5073B7EE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290453</xdr:colOff>
      <xdr:row>33</xdr:row>
      <xdr:rowOff>16757</xdr:rowOff>
    </xdr:from>
    <xdr:ext cx="2588850" cy="1892762"/>
    <xdr:sp macro="" textlink="">
      <xdr:nvSpPr>
        <xdr:cNvPr id="8" name="TekstSylinder 7">
          <a:extLst>
            <a:ext uri="{FF2B5EF4-FFF2-40B4-BE49-F238E27FC236}">
              <a16:creationId xmlns:a16="http://schemas.microsoft.com/office/drawing/2014/main" id="{05C37A14-2606-816F-46AC-FF91CCA92B6F}"/>
            </a:ext>
          </a:extLst>
        </xdr:cNvPr>
        <xdr:cNvSpPr txBox="1"/>
      </xdr:nvSpPr>
      <xdr:spPr>
        <a:xfrm>
          <a:off x="10196453" y="6610174"/>
          <a:ext cx="2588850" cy="1892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nb-NO" sz="1600" b="1"/>
            <a:t>Feilfeltene viser:</a:t>
          </a:r>
          <a:endParaRPr lang="nb-NO" sz="1400"/>
        </a:p>
        <a:p>
          <a:r>
            <a:rPr lang="nb-NO" sz="1400"/>
            <a:t>- variasjon mellom prøvene </a:t>
          </a:r>
        </a:p>
        <a:p>
          <a:r>
            <a:rPr lang="nb-NO" sz="1400"/>
            <a:t>- hvor spredt målingene er </a:t>
          </a:r>
        </a:p>
        <a:p>
          <a:r>
            <a:rPr lang="nb-NO" sz="1600" b="1"/>
            <a:t>Små feilfelt:</a:t>
          </a:r>
        </a:p>
        <a:p>
          <a:r>
            <a:rPr lang="nb-NO"/>
            <a:t>→ </a:t>
          </a:r>
          <a:r>
            <a:rPr lang="nb-NO" sz="1400"/>
            <a:t>prøvene oppfører seg likt</a:t>
          </a:r>
        </a:p>
        <a:p>
          <a:r>
            <a:rPr lang="nb-NO" sz="1600" b="1"/>
            <a:t>Store feilfelt:</a:t>
          </a:r>
        </a:p>
        <a:p>
          <a:r>
            <a:rPr lang="nb-NO"/>
            <a:t>→ </a:t>
          </a:r>
          <a:r>
            <a:rPr lang="nb-NO" sz="1400"/>
            <a:t>større variasjon mellom prøvene</a:t>
          </a:r>
        </a:p>
        <a:p>
          <a:endParaRPr lang="nb-NO" sz="1100"/>
        </a:p>
      </xdr:txBody>
    </xdr:sp>
    <xdr:clientData/>
  </xdr:oneCellAnchor>
  <xdr:oneCellAnchor>
    <xdr:from>
      <xdr:col>11</xdr:col>
      <xdr:colOff>587375</xdr:colOff>
      <xdr:row>77</xdr:row>
      <xdr:rowOff>34396</xdr:rowOff>
    </xdr:from>
    <xdr:ext cx="3325813" cy="3411318"/>
    <xdr:sp macro="" textlink="">
      <xdr:nvSpPr>
        <xdr:cNvPr id="9" name="TekstSylinder 8">
          <a:extLst>
            <a:ext uri="{FF2B5EF4-FFF2-40B4-BE49-F238E27FC236}">
              <a16:creationId xmlns:a16="http://schemas.microsoft.com/office/drawing/2014/main" id="{ADA144C7-EDD5-6772-784E-C1AD47CBD196}"/>
            </a:ext>
          </a:extLst>
        </xdr:cNvPr>
        <xdr:cNvSpPr txBox="1"/>
      </xdr:nvSpPr>
      <xdr:spPr>
        <a:xfrm>
          <a:off x="8969375" y="15094479"/>
          <a:ext cx="3325813" cy="3411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solidFill>
                <a:schemeClr val="tx1"/>
              </a:solidFill>
              <a:effectLst/>
              <a:latin typeface="+mn-lt"/>
              <a:ea typeface="+mn-ea"/>
              <a:cs typeface="+mn-cs"/>
            </a:rPr>
            <a:t>Dette diagrammet viser:</a:t>
          </a:r>
          <a:endParaRPr lang="nb-NO" sz="1600">
            <a:effectLst/>
          </a:endParaRPr>
        </a:p>
        <a:p>
          <a:r>
            <a:rPr lang="nb-NO" sz="1400"/>
            <a:t>1. Hva som blir igjen etter tørking </a:t>
          </a:r>
        </a:p>
        <a:p>
          <a:r>
            <a:rPr lang="nb-NO" sz="1400"/>
            <a:t>2.</a:t>
          </a:r>
          <a:r>
            <a:rPr lang="nb-NO" sz="1400" baseline="0"/>
            <a:t> H</a:t>
          </a:r>
          <a:r>
            <a:rPr lang="nb-NO" sz="1400"/>
            <a:t>vor mye vann/salt som ikke forsvinner ut igjen</a:t>
          </a:r>
        </a:p>
        <a:p>
          <a:r>
            <a:rPr lang="nb-NO" sz="1400"/>
            <a:t>3. Strukturelle endringer som for eksempel avskalling av materialer kan gi minusverdier. </a:t>
          </a:r>
        </a:p>
        <a:p>
          <a:endParaRPr lang="nb-NO" sz="1100"/>
        </a:p>
        <a:p>
          <a:r>
            <a:rPr lang="nb-NO" sz="1600" b="1">
              <a:solidFill>
                <a:schemeClr val="tx1"/>
              </a:solidFill>
              <a:effectLst/>
              <a:latin typeface="+mn-lt"/>
              <a:ea typeface="+mn-ea"/>
              <a:cs typeface="+mn-cs"/>
            </a:rPr>
            <a:t>Feilfeltene viser:</a:t>
          </a:r>
          <a:endParaRPr lang="nb-NO" sz="1600">
            <a:effectLst/>
          </a:endParaRPr>
        </a:p>
        <a:p>
          <a:r>
            <a:rPr lang="nb-NO" sz="1400">
              <a:solidFill>
                <a:schemeClr val="tx1"/>
              </a:solidFill>
              <a:effectLst/>
              <a:latin typeface="+mn-lt"/>
              <a:ea typeface="+mn-ea"/>
              <a:cs typeface="+mn-cs"/>
            </a:rPr>
            <a:t>- variasjon mellom prøvene </a:t>
          </a:r>
          <a:endParaRPr lang="nb-NO" sz="1400">
            <a:effectLst/>
          </a:endParaRPr>
        </a:p>
        <a:p>
          <a:r>
            <a:rPr lang="nb-NO" sz="1400">
              <a:solidFill>
                <a:schemeClr val="tx1"/>
              </a:solidFill>
              <a:effectLst/>
              <a:latin typeface="+mn-lt"/>
              <a:ea typeface="+mn-ea"/>
              <a:cs typeface="+mn-cs"/>
            </a:rPr>
            <a:t>- hvor spredt målingene er </a:t>
          </a:r>
          <a:endParaRPr lang="nb-NO" sz="1400">
            <a:effectLst/>
          </a:endParaRPr>
        </a:p>
        <a:p>
          <a:r>
            <a:rPr lang="nb-NO" sz="1600" b="1">
              <a:solidFill>
                <a:schemeClr val="tx1"/>
              </a:solidFill>
              <a:effectLst/>
              <a:latin typeface="+mn-lt"/>
              <a:ea typeface="+mn-ea"/>
              <a:cs typeface="+mn-cs"/>
            </a:rPr>
            <a:t>Små feilfelt:</a:t>
          </a:r>
          <a:endParaRPr lang="nb-NO" sz="1600">
            <a:effectLst/>
          </a:endParaRPr>
        </a:p>
        <a:p>
          <a:r>
            <a:rPr lang="nb-NO" sz="1400">
              <a:solidFill>
                <a:schemeClr val="tx1"/>
              </a:solidFill>
              <a:effectLst/>
              <a:latin typeface="+mn-lt"/>
              <a:ea typeface="+mn-ea"/>
              <a:cs typeface="+mn-cs"/>
            </a:rPr>
            <a:t>→ prøvene oppfører seg likt</a:t>
          </a:r>
          <a:endParaRPr lang="nb-NO" sz="1400">
            <a:effectLst/>
          </a:endParaRPr>
        </a:p>
        <a:p>
          <a:r>
            <a:rPr lang="nb-NO" sz="1600" b="1">
              <a:solidFill>
                <a:schemeClr val="tx1"/>
              </a:solidFill>
              <a:effectLst/>
              <a:latin typeface="+mn-lt"/>
              <a:ea typeface="+mn-ea"/>
              <a:cs typeface="+mn-cs"/>
            </a:rPr>
            <a:t>Store feilfelt:</a:t>
          </a:r>
          <a:endParaRPr lang="nb-NO" sz="1600">
            <a:effectLst/>
          </a:endParaRPr>
        </a:p>
        <a:p>
          <a:r>
            <a:rPr lang="nb-NO" sz="1400">
              <a:solidFill>
                <a:schemeClr val="tx1"/>
              </a:solidFill>
              <a:effectLst/>
              <a:latin typeface="+mn-lt"/>
              <a:ea typeface="+mn-ea"/>
              <a:cs typeface="+mn-cs"/>
            </a:rPr>
            <a:t>→ større variasjon mellom prøvene</a:t>
          </a:r>
          <a:endParaRPr lang="nb-NO" sz="1400">
            <a:effectLst/>
          </a:endParaRPr>
        </a:p>
        <a:p>
          <a:endParaRPr lang="nb-NO"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5</xdr:col>
      <xdr:colOff>374651</xdr:colOff>
      <xdr:row>10</xdr:row>
      <xdr:rowOff>158750</xdr:rowOff>
    </xdr:from>
    <xdr:ext cx="1454150" cy="1470146"/>
    <xdr:sp macro="" textlink="">
      <xdr:nvSpPr>
        <xdr:cNvPr id="7" name="TekstSylinder 6">
          <a:extLst>
            <a:ext uri="{FF2B5EF4-FFF2-40B4-BE49-F238E27FC236}">
              <a16:creationId xmlns:a16="http://schemas.microsoft.com/office/drawing/2014/main" id="{98A7558B-86F9-85F5-6D9C-6089B34AED23}"/>
            </a:ext>
          </a:extLst>
        </xdr:cNvPr>
        <xdr:cNvSpPr txBox="1"/>
      </xdr:nvSpPr>
      <xdr:spPr>
        <a:xfrm>
          <a:off x="6159501" y="2393950"/>
          <a:ext cx="1454150"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0" i="0" u="none" strike="noStrike">
              <a:solidFill>
                <a:schemeClr val="tx1"/>
              </a:solidFill>
              <a:effectLst/>
              <a:latin typeface="+mn-lt"/>
              <a:ea typeface="+mn-ea"/>
              <a:cs typeface="+mn-cs"/>
            </a:rPr>
            <a:t>En svak negativ permanent endring ble registrert ved 40 °C etter 6 uker. Verdien ligger svært nær null og vurderes å være innenfor måleusikkerheten.</a:t>
          </a:r>
          <a:r>
            <a:rPr lang="nb-NO">
              <a:effectLst/>
            </a:rPr>
            <a:t> </a:t>
          </a:r>
          <a:endParaRPr lang="nb-NO" sz="1100"/>
        </a:p>
      </xdr:txBody>
    </xdr:sp>
    <xdr:clientData/>
  </xdr:oneCellAnchor>
  <xdr:oneCellAnchor>
    <xdr:from>
      <xdr:col>5</xdr:col>
      <xdr:colOff>330200</xdr:colOff>
      <xdr:row>3</xdr:row>
      <xdr:rowOff>222250</xdr:rowOff>
    </xdr:from>
    <xdr:ext cx="4438650" cy="1304524"/>
    <mc:AlternateContent xmlns:mc="http://schemas.openxmlformats.org/markup-compatibility/2006" xmlns:a14="http://schemas.microsoft.com/office/drawing/2010/main">
      <mc:Choice Requires="a14">
        <xdr:sp macro="" textlink="">
          <xdr:nvSpPr>
            <xdr:cNvPr id="8" name="TekstSylinder 7">
              <a:extLst>
                <a:ext uri="{FF2B5EF4-FFF2-40B4-BE49-F238E27FC236}">
                  <a16:creationId xmlns:a16="http://schemas.microsoft.com/office/drawing/2014/main" id="{E2938592-C62D-7887-4848-E501D0D861D3}"/>
                </a:ext>
              </a:extLst>
            </xdr:cNvPr>
            <xdr:cNvSpPr txBox="1"/>
          </xdr:nvSpPr>
          <xdr:spPr>
            <a:xfrm>
              <a:off x="6115050" y="1035050"/>
              <a:ext cx="4438650" cy="1304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a:t>Permanent andel av opptak (%) er beregnet som forholdet mellom gjennomsnittlig permanent vektendring og gjennomsnittlig vektendring.</a:t>
              </a:r>
            </a:p>
            <a:p>
              <a:endParaRPr lang="nb-NO" sz="1100"/>
            </a:p>
            <a:p>
              <a:pPr/>
              <a14:m>
                <m:oMathPara xmlns:m="http://schemas.openxmlformats.org/officeDocument/2006/math">
                  <m:oMathParaPr>
                    <m:jc m:val="centerGroup"/>
                  </m:oMathParaPr>
                  <m:oMath xmlns:m="http://schemas.openxmlformats.org/officeDocument/2006/math">
                    <m:r>
                      <a:rPr lang="nb-NO" sz="1100" b="0" i="1">
                        <a:latin typeface="Cambria Math" panose="02040503050406030204" pitchFamily="18" charset="0"/>
                      </a:rPr>
                      <m:t>𝑃𝑒𝑟𝑚𝑎𝑛𝑒𝑛𝑡</m:t>
                    </m:r>
                    <m:r>
                      <a:rPr lang="nb-NO" sz="1100" b="0" i="1">
                        <a:latin typeface="Cambria Math" panose="02040503050406030204" pitchFamily="18" charset="0"/>
                      </a:rPr>
                      <m:t> </m:t>
                    </m:r>
                    <m:r>
                      <a:rPr lang="nb-NO" sz="1100" b="0" i="1">
                        <a:latin typeface="Cambria Math" panose="02040503050406030204" pitchFamily="18" charset="0"/>
                      </a:rPr>
                      <m:t>𝑎𝑛𝑑𝑒𝑙</m:t>
                    </m:r>
                    <m:r>
                      <a:rPr lang="nb-NO" sz="1100" b="0" i="1">
                        <a:latin typeface="Cambria Math" panose="02040503050406030204" pitchFamily="18" charset="0"/>
                      </a:rPr>
                      <m:t>= </m:t>
                    </m:r>
                    <m:f>
                      <m:fPr>
                        <m:ctrlPr>
                          <a:rPr lang="nb-NO" sz="1100" b="0" i="1">
                            <a:latin typeface="Cambria Math" panose="02040503050406030204" pitchFamily="18" charset="0"/>
                          </a:rPr>
                        </m:ctrlPr>
                      </m:fPr>
                      <m:num>
                        <m:r>
                          <a:rPr lang="nb-NO" sz="1100" b="0" i="1">
                            <a:latin typeface="Cambria Math" panose="02040503050406030204" pitchFamily="18" charset="0"/>
                          </a:rPr>
                          <m:t>𝑃𝑒𝑟𝑚𝑎𝑛𝑒𝑛𝑡</m:t>
                        </m:r>
                        <m:r>
                          <a:rPr lang="nb-NO" sz="1100" b="0" i="1">
                            <a:latin typeface="Cambria Math" panose="02040503050406030204" pitchFamily="18" charset="0"/>
                          </a:rPr>
                          <m:t> </m:t>
                        </m:r>
                        <m:r>
                          <a:rPr lang="nb-NO" sz="1100" b="0" i="1">
                            <a:latin typeface="Cambria Math" panose="02040503050406030204" pitchFamily="18" charset="0"/>
                          </a:rPr>
                          <m:t>𝑒𝑛𝑑𝑟𝑖𝑛𝑔</m:t>
                        </m:r>
                      </m:num>
                      <m:den>
                        <m:r>
                          <a:rPr lang="nb-NO" sz="1100" b="0" i="1">
                            <a:latin typeface="Cambria Math" panose="02040503050406030204" pitchFamily="18" charset="0"/>
                          </a:rPr>
                          <m:t>𝑉𝑒𝑘𝑡𝑒𝑛𝑑𝑟𝑖𝑛𝑔</m:t>
                        </m:r>
                      </m:den>
                    </m:f>
                  </m:oMath>
                </m:oMathPara>
              </a14:m>
              <a:endParaRPr lang="nb-NO" sz="1100"/>
            </a:p>
            <a:p>
              <a:endParaRPr lang="nb-NO" sz="1100"/>
            </a:p>
            <a:p>
              <a:r>
                <a:rPr lang="nb-NO" sz="1100"/>
                <a:t>Verdiene er formatert som prosent i Excel.</a:t>
              </a:r>
            </a:p>
          </xdr:txBody>
        </xdr:sp>
      </mc:Choice>
      <mc:Fallback xmlns="">
        <xdr:sp macro="" textlink="">
          <xdr:nvSpPr>
            <xdr:cNvPr id="8" name="TekstSylinder 7">
              <a:extLst>
                <a:ext uri="{FF2B5EF4-FFF2-40B4-BE49-F238E27FC236}">
                  <a16:creationId xmlns:a16="http://schemas.microsoft.com/office/drawing/2014/main" id="{E2938592-C62D-7887-4848-E501D0D861D3}"/>
                </a:ext>
              </a:extLst>
            </xdr:cNvPr>
            <xdr:cNvSpPr txBox="1"/>
          </xdr:nvSpPr>
          <xdr:spPr>
            <a:xfrm>
              <a:off x="6115050" y="1035050"/>
              <a:ext cx="4438650" cy="1304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a:t>Permanent andel av opptak (%) er beregnet som forholdet mellom gjennomsnittlig permanent vektendring og gjennomsnittlig vektendring.</a:t>
              </a:r>
            </a:p>
            <a:p>
              <a:endParaRPr lang="nb-NO" sz="1100"/>
            </a:p>
            <a:p>
              <a:r>
                <a:rPr lang="nb-NO" sz="1100" b="0" i="0">
                  <a:latin typeface="Cambria Math" panose="02040503050406030204" pitchFamily="18" charset="0"/>
                </a:rPr>
                <a:t>𝑃𝑒𝑟𝑚𝑎𝑛𝑒𝑛𝑡 𝑎𝑛𝑑𝑒𝑙=  (𝑃𝑒𝑟𝑚𝑎𝑛𝑒𝑛𝑡 𝑒𝑛𝑑𝑟𝑖𝑛𝑔)/𝑉𝑒𝑘𝑡𝑒𝑛𝑑𝑟𝑖𝑛𝑔</a:t>
              </a:r>
              <a:endParaRPr lang="nb-NO" sz="1100"/>
            </a:p>
            <a:p>
              <a:endParaRPr lang="nb-NO" sz="1100"/>
            </a:p>
            <a:p>
              <a:r>
                <a:rPr lang="nb-NO" sz="1100"/>
                <a:t>Verdiene er formatert som prosent i Excel.</a:t>
              </a:r>
            </a:p>
          </xdr:txBody>
        </xdr:sp>
      </mc:Fallback>
    </mc:AlternateContent>
    <xdr:clientData/>
  </xdr:oneCellAnchor>
  <xdr:oneCellAnchor>
    <xdr:from>
      <xdr:col>9</xdr:col>
      <xdr:colOff>292100</xdr:colOff>
      <xdr:row>19</xdr:row>
      <xdr:rowOff>0</xdr:rowOff>
    </xdr:from>
    <xdr:ext cx="184731" cy="264560"/>
    <xdr:sp macro="" textlink="">
      <xdr:nvSpPr>
        <xdr:cNvPr id="9" name="TekstSylinder 8">
          <a:extLst>
            <a:ext uri="{FF2B5EF4-FFF2-40B4-BE49-F238E27FC236}">
              <a16:creationId xmlns:a16="http://schemas.microsoft.com/office/drawing/2014/main" id="{DA280C7E-9923-022B-9989-8CC5A7F32827}"/>
            </a:ext>
          </a:extLst>
        </xdr:cNvPr>
        <xdr:cNvSpPr txBox="1"/>
      </xdr:nvSpPr>
      <xdr:spPr>
        <a:xfrm>
          <a:off x="659765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twoCellAnchor>
    <xdr:from>
      <xdr:col>5</xdr:col>
      <xdr:colOff>196850</xdr:colOff>
      <xdr:row>11</xdr:row>
      <xdr:rowOff>82550</xdr:rowOff>
    </xdr:from>
    <xdr:to>
      <xdr:col>5</xdr:col>
      <xdr:colOff>368300</xdr:colOff>
      <xdr:row>11</xdr:row>
      <xdr:rowOff>152400</xdr:rowOff>
    </xdr:to>
    <xdr:sp macro="" textlink="">
      <xdr:nvSpPr>
        <xdr:cNvPr id="13" name="Pil: høyre 12">
          <a:extLst>
            <a:ext uri="{FF2B5EF4-FFF2-40B4-BE49-F238E27FC236}">
              <a16:creationId xmlns:a16="http://schemas.microsoft.com/office/drawing/2014/main" id="{1D968E10-5CA0-0606-1C28-BD408B5AAAA4}"/>
            </a:ext>
          </a:extLst>
        </xdr:cNvPr>
        <xdr:cNvSpPr/>
      </xdr:nvSpPr>
      <xdr:spPr>
        <a:xfrm>
          <a:off x="5981700" y="2501900"/>
          <a:ext cx="171450" cy="69850"/>
        </a:xfrm>
        <a:prstGeom prst="rightArrow">
          <a:avLst/>
        </a:prstGeom>
        <a:no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0</xdr:col>
      <xdr:colOff>11907</xdr:colOff>
      <xdr:row>25</xdr:row>
      <xdr:rowOff>180182</xdr:rowOff>
    </xdr:from>
    <xdr:to>
      <xdr:col>8</xdr:col>
      <xdr:colOff>358658</xdr:colOff>
      <xdr:row>50</xdr:row>
      <xdr:rowOff>88194</xdr:rowOff>
    </xdr:to>
    <xdr:graphicFrame macro="">
      <xdr:nvGraphicFramePr>
        <xdr:cNvPr id="27" name="Diagram 26">
          <a:extLst>
            <a:ext uri="{FF2B5EF4-FFF2-40B4-BE49-F238E27FC236}">
              <a16:creationId xmlns:a16="http://schemas.microsoft.com/office/drawing/2014/main" id="{E887AF2C-6587-6C35-09FD-FEA3BAE5D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754062</xdr:colOff>
      <xdr:row>54</xdr:row>
      <xdr:rowOff>0</xdr:rowOff>
    </xdr:from>
    <xdr:to>
      <xdr:col>13</xdr:col>
      <xdr:colOff>754062</xdr:colOff>
      <xdr:row>72</xdr:row>
      <xdr:rowOff>127000</xdr:rowOff>
    </xdr:to>
    <xdr:graphicFrame macro="">
      <xdr:nvGraphicFramePr>
        <xdr:cNvPr id="2" name="Diagram 1">
          <a:extLst>
            <a:ext uri="{FF2B5EF4-FFF2-40B4-BE49-F238E27FC236}">
              <a16:creationId xmlns:a16="http://schemas.microsoft.com/office/drawing/2014/main" id="{1410D614-A4CA-40D8-90CF-750352BD5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7938</xdr:colOff>
      <xdr:row>29</xdr:row>
      <xdr:rowOff>230188</xdr:rowOff>
    </xdr:from>
    <xdr:to>
      <xdr:col>14</xdr:col>
      <xdr:colOff>0</xdr:colOff>
      <xdr:row>50</xdr:row>
      <xdr:rowOff>47625</xdr:rowOff>
    </xdr:to>
    <xdr:graphicFrame macro="">
      <xdr:nvGraphicFramePr>
        <xdr:cNvPr id="3" name="Diagram 2">
          <a:extLst>
            <a:ext uri="{FF2B5EF4-FFF2-40B4-BE49-F238E27FC236}">
              <a16:creationId xmlns:a16="http://schemas.microsoft.com/office/drawing/2014/main" id="{76B407CC-447B-467C-8646-5DFB2009C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15874</xdr:colOff>
      <xdr:row>7</xdr:row>
      <xdr:rowOff>0</xdr:rowOff>
    </xdr:from>
    <xdr:to>
      <xdr:col>13</xdr:col>
      <xdr:colOff>746125</xdr:colOff>
      <xdr:row>27</xdr:row>
      <xdr:rowOff>71438</xdr:rowOff>
    </xdr:to>
    <xdr:graphicFrame macro="">
      <xdr:nvGraphicFramePr>
        <xdr:cNvPr id="4" name="Diagram 3">
          <a:extLst>
            <a:ext uri="{FF2B5EF4-FFF2-40B4-BE49-F238E27FC236}">
              <a16:creationId xmlns:a16="http://schemas.microsoft.com/office/drawing/2014/main" id="{6FF8CFF3-A801-44AF-A954-037507BF7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84667</xdr:colOff>
      <xdr:row>2</xdr:row>
      <xdr:rowOff>10583</xdr:rowOff>
    </xdr:from>
    <xdr:ext cx="6127750" cy="436786"/>
    <xdr:sp macro="" textlink="">
      <xdr:nvSpPr>
        <xdr:cNvPr id="8" name="TekstSylinder 7">
          <a:extLst>
            <a:ext uri="{FF2B5EF4-FFF2-40B4-BE49-F238E27FC236}">
              <a16:creationId xmlns:a16="http://schemas.microsoft.com/office/drawing/2014/main" id="{666E827D-EC7C-FFC1-33DD-3C5A1E68E12F}"/>
            </a:ext>
          </a:extLst>
        </xdr:cNvPr>
        <xdr:cNvSpPr txBox="1"/>
      </xdr:nvSpPr>
      <xdr:spPr>
        <a:xfrm>
          <a:off x="84667" y="539750"/>
          <a:ext cx="61277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a:t>Prosentberegningene viser hvor stor andel av det totale væskeopptaket som ble værende i materialet etter tørking. Dette gir et mål på materialets evne til å holde på væske eller salt permanent etter eksponering.</a:t>
          </a:r>
          <a:endParaRPr lang="nb-NO"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 dockstate="right" visibility="0" width="525"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0E6B208-EC72-444D-A23F-906D5257114E}">
  <we:reference id="wa200005502" version="1.0.0.13" store="en-GB" storeType="OMEX"/>
  <we:alternateReferences>
    <we:reference id="WA200005502" version="1.0.0.13" store="" storeType="OMEX"/>
  </we:alternateReferences>
  <we:properties>
    <we:property name="docId" value="&quot;6vc8UQExb0zHaOyIHZorp&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A39E420D-FCDB-4BD0-BEE3-E13D50CDC779}">
  <we:reference id="wa200009404" version="1.0.0.8" store="en-US" storeType="OMEX"/>
  <we:alternateReferences>
    <we:reference id="WA200009404" version="1.0.0.8" store="" storeType="OMEX"/>
  </we:alternateReferences>
  <we:properties>
    <we:property name="claude.fileId" value="&quot;3ab766e0-f7ce-4e66-8f98-ff51a455fb12&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54A83-148E-463F-BC87-574430C9F981}">
  <dimension ref="A1:AG94"/>
  <sheetViews>
    <sheetView zoomScale="78" zoomScaleNormal="78" workbookViewId="0">
      <selection activeCell="H2" sqref="H2"/>
    </sheetView>
  </sheetViews>
  <sheetFormatPr baseColWidth="10" defaultColWidth="8.81640625" defaultRowHeight="15" customHeight="1" x14ac:dyDescent="0.35"/>
  <cols>
    <col min="1" max="1" width="12.36328125" customWidth="1"/>
    <col min="4" max="4" width="11.453125" bestFit="1" customWidth="1"/>
    <col min="10" max="10" width="8.453125" customWidth="1"/>
    <col min="11" max="11" width="12.54296875" customWidth="1"/>
    <col min="13" max="13" width="9.453125" bestFit="1" customWidth="1"/>
    <col min="14" max="14" width="9.54296875" bestFit="1" customWidth="1"/>
    <col min="18" max="18" width="9.453125" bestFit="1" customWidth="1"/>
    <col min="21" max="21" width="12.453125" customWidth="1"/>
    <col min="26" max="26" width="13" customWidth="1"/>
  </cols>
  <sheetData>
    <row r="1" spans="2:33" thickBot="1" x14ac:dyDescent="0.4"/>
    <row r="2" spans="2:33" ht="24" thickBot="1" x14ac:dyDescent="0.6">
      <c r="D2" s="155" t="s">
        <v>0</v>
      </c>
      <c r="E2" s="156"/>
      <c r="F2" s="157"/>
      <c r="H2" t="s">
        <v>484</v>
      </c>
    </row>
    <row r="3" spans="2:33" thickBot="1" x14ac:dyDescent="0.4"/>
    <row r="4" spans="2:33" thickBot="1" x14ac:dyDescent="0.4">
      <c r="B4" s="161" t="s">
        <v>1</v>
      </c>
      <c r="C4" s="162"/>
      <c r="D4" s="162" t="s">
        <v>2</v>
      </c>
      <c r="E4" s="163"/>
    </row>
    <row r="5" spans="2:33" thickBot="1" x14ac:dyDescent="0.4"/>
    <row r="6" spans="2:33" thickBot="1" x14ac:dyDescent="0.4">
      <c r="B6" s="33" t="s">
        <v>3</v>
      </c>
      <c r="C6" s="34" t="s">
        <v>4</v>
      </c>
      <c r="D6" s="39" t="s">
        <v>3</v>
      </c>
      <c r="E6" s="34" t="s">
        <v>4</v>
      </c>
    </row>
    <row r="7" spans="2:33" ht="14.5" x14ac:dyDescent="0.35">
      <c r="B7" s="35" t="s">
        <v>5</v>
      </c>
      <c r="C7" s="41">
        <v>1.4490000000000001</v>
      </c>
      <c r="D7" s="35" t="s">
        <v>6</v>
      </c>
      <c r="E7" s="36">
        <v>1.4501999999999999</v>
      </c>
    </row>
    <row r="8" spans="2:33" ht="14.5" x14ac:dyDescent="0.35">
      <c r="B8" s="47" t="s">
        <v>5</v>
      </c>
      <c r="C8" s="42">
        <v>1.4504999999999999</v>
      </c>
      <c r="D8" s="35" t="s">
        <v>6</v>
      </c>
      <c r="E8" s="37">
        <v>1.4489000000000001</v>
      </c>
    </row>
    <row r="9" spans="2:33" ht="14.5" x14ac:dyDescent="0.35">
      <c r="B9" s="47" t="s">
        <v>5</v>
      </c>
      <c r="C9" s="42">
        <v>1.4512</v>
      </c>
      <c r="D9" s="35" t="s">
        <v>6</v>
      </c>
      <c r="E9" s="37">
        <v>1.4451000000000001</v>
      </c>
    </row>
    <row r="10" spans="2:33" ht="14.5" x14ac:dyDescent="0.35">
      <c r="B10" s="47" t="s">
        <v>5</v>
      </c>
      <c r="C10" s="42">
        <v>1.4496</v>
      </c>
      <c r="D10" s="35" t="s">
        <v>6</v>
      </c>
      <c r="E10" s="37">
        <v>1.4458</v>
      </c>
    </row>
    <row r="11" spans="2:33" ht="15" customHeight="1" thickBot="1" x14ac:dyDescent="0.4">
      <c r="B11" s="48" t="s">
        <v>5</v>
      </c>
      <c r="C11" s="43">
        <v>1.4508000000000001</v>
      </c>
      <c r="D11" s="44" t="s">
        <v>6</v>
      </c>
      <c r="E11" s="38">
        <v>1.4464999999999999</v>
      </c>
    </row>
    <row r="12" spans="2:33" thickBot="1" x14ac:dyDescent="0.4"/>
    <row r="13" spans="2:33" thickBot="1" x14ac:dyDescent="0.4">
      <c r="B13" s="158" t="s">
        <v>7</v>
      </c>
      <c r="C13" s="159"/>
      <c r="D13" s="15"/>
      <c r="E13" s="15"/>
      <c r="F13" s="15"/>
      <c r="G13" s="15"/>
      <c r="H13" s="15"/>
      <c r="I13" s="17"/>
      <c r="J13" s="16"/>
      <c r="K13" s="16"/>
      <c r="L13" s="158" t="s">
        <v>8</v>
      </c>
      <c r="M13" s="159"/>
      <c r="N13" s="15"/>
      <c r="O13" s="15"/>
      <c r="P13" s="15"/>
      <c r="Q13" s="15"/>
      <c r="R13" s="15"/>
      <c r="S13" s="17"/>
      <c r="T13" s="16"/>
      <c r="U13" s="16"/>
      <c r="V13" s="158" t="s">
        <v>9</v>
      </c>
      <c r="W13" s="159"/>
      <c r="X13" s="15"/>
      <c r="Y13" s="15"/>
      <c r="Z13" s="15"/>
      <c r="AA13" s="15"/>
      <c r="AB13" s="15"/>
      <c r="AC13" s="17"/>
      <c r="AD13" s="16"/>
      <c r="AE13" s="16"/>
      <c r="AF13" s="160"/>
      <c r="AG13" s="160"/>
    </row>
    <row r="15" spans="2:33" ht="14.5" x14ac:dyDescent="0.35">
      <c r="B15" t="s">
        <v>10</v>
      </c>
      <c r="G15" t="s">
        <v>11</v>
      </c>
      <c r="L15" t="s">
        <v>10</v>
      </c>
      <c r="Q15" t="s">
        <v>11</v>
      </c>
      <c r="V15" t="s">
        <v>10</v>
      </c>
      <c r="AA15" t="s">
        <v>11</v>
      </c>
    </row>
    <row r="16" spans="2:33" thickBot="1" x14ac:dyDescent="0.4"/>
    <row r="17" spans="1:33" thickBot="1" x14ac:dyDescent="0.4">
      <c r="B17" s="12" t="s">
        <v>1</v>
      </c>
      <c r="C17" s="1" t="s">
        <v>12</v>
      </c>
      <c r="D17" s="1" t="s">
        <v>13</v>
      </c>
      <c r="E17" s="2" t="s">
        <v>14</v>
      </c>
      <c r="G17" s="12" t="s">
        <v>1</v>
      </c>
      <c r="H17" s="1" t="s">
        <v>12</v>
      </c>
      <c r="I17" s="2" t="s">
        <v>13</v>
      </c>
      <c r="L17" s="12" t="s">
        <v>1</v>
      </c>
      <c r="M17" s="1" t="s">
        <v>12</v>
      </c>
      <c r="N17" s="1" t="s">
        <v>13</v>
      </c>
      <c r="O17" s="2" t="s">
        <v>14</v>
      </c>
      <c r="Q17" s="12" t="s">
        <v>1</v>
      </c>
      <c r="R17" s="1" t="s">
        <v>12</v>
      </c>
      <c r="S17" s="2" t="s">
        <v>13</v>
      </c>
      <c r="V17" s="12" t="s">
        <v>1</v>
      </c>
      <c r="W17" s="1" t="s">
        <v>12</v>
      </c>
      <c r="X17" s="1" t="s">
        <v>13</v>
      </c>
      <c r="Y17" s="2" t="s">
        <v>14</v>
      </c>
      <c r="AA17" s="12" t="s">
        <v>1</v>
      </c>
      <c r="AB17" s="1" t="s">
        <v>12</v>
      </c>
      <c r="AC17" s="2" t="s">
        <v>13</v>
      </c>
    </row>
    <row r="18" spans="1:33" thickBot="1" x14ac:dyDescent="0.4"/>
    <row r="19" spans="1:33" thickBot="1" x14ac:dyDescent="0.4">
      <c r="B19" s="6" t="s">
        <v>3</v>
      </c>
      <c r="C19" s="7" t="s">
        <v>4</v>
      </c>
      <c r="D19" s="7" t="s">
        <v>15</v>
      </c>
      <c r="E19" s="8" t="s">
        <v>16</v>
      </c>
      <c r="G19" s="6" t="s">
        <v>3</v>
      </c>
      <c r="H19" s="7" t="s">
        <v>4</v>
      </c>
      <c r="I19" s="8" t="s">
        <v>15</v>
      </c>
      <c r="L19" s="6" t="s">
        <v>3</v>
      </c>
      <c r="M19" s="7" t="s">
        <v>4</v>
      </c>
      <c r="N19" s="7" t="s">
        <v>15</v>
      </c>
      <c r="O19" s="8" t="s">
        <v>16</v>
      </c>
      <c r="Q19" s="6" t="s">
        <v>3</v>
      </c>
      <c r="R19" s="7" t="s">
        <v>4</v>
      </c>
      <c r="S19" s="8" t="s">
        <v>15</v>
      </c>
      <c r="V19" s="6" t="s">
        <v>3</v>
      </c>
      <c r="W19" s="7" t="s">
        <v>4</v>
      </c>
      <c r="X19" s="7" t="s">
        <v>15</v>
      </c>
      <c r="Y19" s="8" t="s">
        <v>16</v>
      </c>
      <c r="AA19" s="27" t="s">
        <v>3</v>
      </c>
      <c r="AB19" s="28" t="s">
        <v>4</v>
      </c>
      <c r="AC19" s="29" t="s">
        <v>15</v>
      </c>
    </row>
    <row r="20" spans="1:33" ht="14.5" x14ac:dyDescent="0.35">
      <c r="A20" t="s">
        <v>17</v>
      </c>
      <c r="B20" s="9" t="s">
        <v>18</v>
      </c>
      <c r="C20" s="19">
        <v>1.4414</v>
      </c>
      <c r="D20" s="19">
        <v>1.4646999999999999</v>
      </c>
      <c r="E20" s="20">
        <v>1.4461999999999999</v>
      </c>
      <c r="F20" t="s">
        <v>17</v>
      </c>
      <c r="G20" s="9" t="s">
        <v>19</v>
      </c>
      <c r="H20" s="19">
        <v>1.4419999999999999</v>
      </c>
      <c r="I20" s="20">
        <v>1.4692000000000001</v>
      </c>
      <c r="K20" t="s">
        <v>17</v>
      </c>
      <c r="L20" s="9" t="s">
        <v>20</v>
      </c>
      <c r="M20" s="19">
        <v>1.4440999999999999</v>
      </c>
      <c r="N20" s="19">
        <v>1.4874000000000001</v>
      </c>
      <c r="O20" s="20">
        <v>1.4562999999999999</v>
      </c>
      <c r="P20" t="s">
        <v>17</v>
      </c>
      <c r="Q20" s="9" t="s">
        <v>21</v>
      </c>
      <c r="R20" s="19">
        <v>1.4410000000000001</v>
      </c>
      <c r="S20" s="20">
        <v>1.4741</v>
      </c>
      <c r="U20" t="s">
        <v>17</v>
      </c>
      <c r="V20" s="9" t="s">
        <v>22</v>
      </c>
      <c r="W20" s="19">
        <v>1.4463999999999999</v>
      </c>
      <c r="X20" s="19">
        <v>1.5093000000000001</v>
      </c>
      <c r="Y20" s="20">
        <v>1.4637</v>
      </c>
      <c r="Z20" t="s">
        <v>17</v>
      </c>
      <c r="AA20" s="13" t="s">
        <v>23</v>
      </c>
      <c r="AB20" s="25">
        <v>1.4429000000000001</v>
      </c>
      <c r="AC20" s="26">
        <v>1.4849000000000001</v>
      </c>
      <c r="AG20" s="107"/>
    </row>
    <row r="21" spans="1:33" ht="14.5" x14ac:dyDescent="0.35">
      <c r="A21" t="s">
        <v>24</v>
      </c>
      <c r="B21" s="10" t="s">
        <v>18</v>
      </c>
      <c r="C21" s="21">
        <v>1.4429000000000001</v>
      </c>
      <c r="D21" s="21">
        <v>1.4794</v>
      </c>
      <c r="E21" s="22">
        <v>1.4507000000000001</v>
      </c>
      <c r="F21" t="s">
        <v>24</v>
      </c>
      <c r="G21" s="10" t="s">
        <v>19</v>
      </c>
      <c r="H21" s="21">
        <v>1.4430000000000001</v>
      </c>
      <c r="I21" s="22">
        <v>1.4751000000000001</v>
      </c>
      <c r="K21" t="s">
        <v>24</v>
      </c>
      <c r="L21" s="10" t="s">
        <v>20</v>
      </c>
      <c r="M21" s="21">
        <v>1.4447000000000001</v>
      </c>
      <c r="N21" s="21">
        <v>1.4892000000000001</v>
      </c>
      <c r="O21" s="22">
        <v>1.4538</v>
      </c>
      <c r="P21" t="s">
        <v>24</v>
      </c>
      <c r="Q21" s="10" t="s">
        <v>21</v>
      </c>
      <c r="R21" s="21">
        <v>1.4461999999999999</v>
      </c>
      <c r="S21" s="22">
        <v>1.4795</v>
      </c>
      <c r="U21" t="s">
        <v>24</v>
      </c>
      <c r="V21" s="10" t="s">
        <v>22</v>
      </c>
      <c r="W21" s="21">
        <v>1.4422999999999999</v>
      </c>
      <c r="X21" s="21">
        <v>1.5037</v>
      </c>
      <c r="Y21" s="22">
        <v>1.452</v>
      </c>
      <c r="Z21" t="s">
        <v>24</v>
      </c>
      <c r="AA21" s="10" t="s">
        <v>23</v>
      </c>
      <c r="AB21" s="21">
        <v>1.4504999999999999</v>
      </c>
      <c r="AC21" s="22">
        <v>1.5067999999999999</v>
      </c>
      <c r="AG21" s="107"/>
    </row>
    <row r="22" spans="1:33" ht="14.5" x14ac:dyDescent="0.35">
      <c r="A22" t="s">
        <v>24</v>
      </c>
      <c r="B22" s="10" t="s">
        <v>18</v>
      </c>
      <c r="C22" s="21">
        <v>1.444</v>
      </c>
      <c r="D22" s="21">
        <v>1.4742</v>
      </c>
      <c r="E22" s="22">
        <v>1.4469000000000001</v>
      </c>
      <c r="F22" t="s">
        <v>24</v>
      </c>
      <c r="G22" s="10" t="s">
        <v>19</v>
      </c>
      <c r="H22" s="21">
        <v>1.4459</v>
      </c>
      <c r="I22" s="22">
        <v>1.4751000000000001</v>
      </c>
      <c r="K22" t="s">
        <v>24</v>
      </c>
      <c r="L22" s="10" t="s">
        <v>20</v>
      </c>
      <c r="M22" s="21">
        <v>1.448</v>
      </c>
      <c r="N22" s="21">
        <v>1.4855</v>
      </c>
      <c r="O22" s="22">
        <v>1.456</v>
      </c>
      <c r="P22" t="s">
        <v>24</v>
      </c>
      <c r="Q22" s="10" t="s">
        <v>21</v>
      </c>
      <c r="R22" s="21">
        <v>1.4473</v>
      </c>
      <c r="S22" s="22">
        <v>1.4915</v>
      </c>
      <c r="U22" t="s">
        <v>24</v>
      </c>
      <c r="V22" s="10" t="s">
        <v>22</v>
      </c>
      <c r="W22" s="21">
        <v>1.4433</v>
      </c>
      <c r="X22" s="21">
        <v>1.5024</v>
      </c>
      <c r="Y22" s="22">
        <v>1.4571000000000001</v>
      </c>
      <c r="Z22" t="s">
        <v>24</v>
      </c>
      <c r="AA22" s="10" t="s">
        <v>23</v>
      </c>
      <c r="AB22" s="21">
        <v>1.4454</v>
      </c>
      <c r="AC22" s="22">
        <v>1.5066999999999999</v>
      </c>
      <c r="AG22" s="107"/>
    </row>
    <row r="23" spans="1:33" ht="14.5" x14ac:dyDescent="0.35">
      <c r="A23" t="s">
        <v>24</v>
      </c>
      <c r="B23" s="10" t="s">
        <v>18</v>
      </c>
      <c r="C23" s="21">
        <v>1.4417</v>
      </c>
      <c r="D23" s="21">
        <v>1.4691000000000001</v>
      </c>
      <c r="E23" s="22">
        <v>1.4472</v>
      </c>
      <c r="F23" t="s">
        <v>24</v>
      </c>
      <c r="G23" s="10" t="s">
        <v>19</v>
      </c>
      <c r="H23" s="21">
        <v>1.4458</v>
      </c>
      <c r="I23" s="22">
        <v>1.4779</v>
      </c>
      <c r="K23" t="s">
        <v>24</v>
      </c>
      <c r="L23" s="10" t="s">
        <v>20</v>
      </c>
      <c r="M23" s="21">
        <v>1.4416</v>
      </c>
      <c r="N23" s="21">
        <v>1.4830000000000001</v>
      </c>
      <c r="O23" s="22">
        <v>1.4496</v>
      </c>
      <c r="P23" t="s">
        <v>24</v>
      </c>
      <c r="Q23" s="10" t="s">
        <v>21</v>
      </c>
      <c r="R23" s="21">
        <v>1.4514</v>
      </c>
      <c r="S23" s="22">
        <v>1.5037</v>
      </c>
      <c r="U23" t="s">
        <v>24</v>
      </c>
      <c r="V23" s="10" t="s">
        <v>22</v>
      </c>
      <c r="W23" s="21">
        <v>1.4480999999999999</v>
      </c>
      <c r="X23" s="21">
        <v>1.5106999999999999</v>
      </c>
      <c r="Y23" s="22">
        <v>1.4621</v>
      </c>
      <c r="Z23" t="s">
        <v>24</v>
      </c>
      <c r="AA23" s="10" t="s">
        <v>23</v>
      </c>
      <c r="AB23" s="21">
        <v>1.4493</v>
      </c>
      <c r="AC23" s="22">
        <v>1.4997</v>
      </c>
      <c r="AG23" s="107"/>
    </row>
    <row r="24" spans="1:33" thickBot="1" x14ac:dyDescent="0.4">
      <c r="A24" t="s">
        <v>24</v>
      </c>
      <c r="B24" s="11" t="s">
        <v>18</v>
      </c>
      <c r="C24" s="23">
        <v>1.4428000000000001</v>
      </c>
      <c r="D24" s="23">
        <v>1.4725999999999999</v>
      </c>
      <c r="E24" s="24">
        <v>1.4456</v>
      </c>
      <c r="F24" t="s">
        <v>24</v>
      </c>
      <c r="G24" s="11" t="s">
        <v>19</v>
      </c>
      <c r="H24" s="23">
        <v>1.4437</v>
      </c>
      <c r="I24" s="24">
        <v>1.4846999999999999</v>
      </c>
      <c r="K24" t="s">
        <v>24</v>
      </c>
      <c r="L24" s="11" t="s">
        <v>20</v>
      </c>
      <c r="M24" s="23">
        <v>1.4410000000000001</v>
      </c>
      <c r="N24" s="23">
        <v>1.4706999999999999</v>
      </c>
      <c r="O24" s="24">
        <v>1.4479</v>
      </c>
      <c r="P24" t="s">
        <v>24</v>
      </c>
      <c r="Q24" s="11" t="s">
        <v>21</v>
      </c>
      <c r="R24" s="23">
        <v>1.4504999999999999</v>
      </c>
      <c r="S24" s="24">
        <v>1.4936</v>
      </c>
      <c r="U24" t="s">
        <v>24</v>
      </c>
      <c r="V24" s="11" t="s">
        <v>22</v>
      </c>
      <c r="W24" s="23">
        <v>1.4455</v>
      </c>
      <c r="X24" s="23">
        <v>1.508</v>
      </c>
      <c r="Y24" s="24">
        <v>1.4585999999999999</v>
      </c>
      <c r="Z24" t="s">
        <v>24</v>
      </c>
      <c r="AA24" s="11" t="s">
        <v>23</v>
      </c>
      <c r="AB24" s="23">
        <v>1.4519</v>
      </c>
      <c r="AC24" s="24">
        <v>1.506</v>
      </c>
      <c r="AG24" s="107"/>
    </row>
    <row r="26" spans="1:33" thickBot="1" x14ac:dyDescent="0.4"/>
    <row r="27" spans="1:33" thickBot="1" x14ac:dyDescent="0.4">
      <c r="B27" s="12" t="s">
        <v>1</v>
      </c>
      <c r="C27" s="49">
        <v>46048</v>
      </c>
      <c r="D27" s="49">
        <v>46090</v>
      </c>
      <c r="E27" s="68">
        <v>46092</v>
      </c>
      <c r="G27" s="12" t="s">
        <v>1</v>
      </c>
      <c r="H27" s="1" t="s">
        <v>12</v>
      </c>
      <c r="I27" s="68">
        <v>46090</v>
      </c>
      <c r="L27" s="12" t="s">
        <v>1</v>
      </c>
      <c r="M27" s="1" t="s">
        <v>12</v>
      </c>
      <c r="N27" s="68">
        <v>46090</v>
      </c>
      <c r="O27" s="68">
        <v>46092</v>
      </c>
      <c r="Q27" s="12" t="s">
        <v>1</v>
      </c>
      <c r="R27" s="1" t="s">
        <v>12</v>
      </c>
      <c r="S27" s="68">
        <v>46090</v>
      </c>
      <c r="V27" s="12" t="s">
        <v>1</v>
      </c>
      <c r="W27" s="1" t="s">
        <v>12</v>
      </c>
      <c r="X27" s="68">
        <v>46090</v>
      </c>
      <c r="Y27" s="68">
        <v>46092</v>
      </c>
      <c r="AA27" s="12" t="s">
        <v>1</v>
      </c>
      <c r="AB27" s="1" t="s">
        <v>12</v>
      </c>
      <c r="AC27" s="68">
        <v>46090</v>
      </c>
    </row>
    <row r="28" spans="1:33" thickBot="1" x14ac:dyDescent="0.4"/>
    <row r="29" spans="1:33" thickBot="1" x14ac:dyDescent="0.4">
      <c r="B29" s="3" t="s">
        <v>3</v>
      </c>
      <c r="C29" s="4" t="s">
        <v>4</v>
      </c>
      <c r="D29" s="4" t="s">
        <v>15</v>
      </c>
      <c r="E29" s="5" t="s">
        <v>16</v>
      </c>
      <c r="G29" s="3" t="s">
        <v>3</v>
      </c>
      <c r="H29" s="4" t="s">
        <v>4</v>
      </c>
      <c r="I29" s="5" t="s">
        <v>15</v>
      </c>
      <c r="L29" s="6" t="s">
        <v>3</v>
      </c>
      <c r="M29" s="7" t="s">
        <v>4</v>
      </c>
      <c r="N29" s="7" t="s">
        <v>15</v>
      </c>
      <c r="O29" s="8" t="s">
        <v>16</v>
      </c>
      <c r="Q29" s="6" t="s">
        <v>3</v>
      </c>
      <c r="R29" s="7" t="s">
        <v>4</v>
      </c>
      <c r="S29" s="8" t="s">
        <v>15</v>
      </c>
      <c r="V29" s="3" t="s">
        <v>3</v>
      </c>
      <c r="W29" s="4" t="s">
        <v>4</v>
      </c>
      <c r="X29" s="4" t="s">
        <v>15</v>
      </c>
      <c r="Y29" s="5" t="s">
        <v>16</v>
      </c>
      <c r="AA29" s="3" t="s">
        <v>3</v>
      </c>
      <c r="AB29" s="4" t="s">
        <v>4</v>
      </c>
      <c r="AC29" s="5" t="s">
        <v>15</v>
      </c>
    </row>
    <row r="30" spans="1:33" ht="14.5" x14ac:dyDescent="0.35">
      <c r="A30" t="s">
        <v>17</v>
      </c>
      <c r="B30" s="13" t="s">
        <v>25</v>
      </c>
      <c r="C30" s="25">
        <v>1.4474</v>
      </c>
      <c r="D30" s="25">
        <v>1.4872000000000001</v>
      </c>
      <c r="E30" s="26">
        <v>1.4516</v>
      </c>
      <c r="G30" s="13" t="s">
        <v>26</v>
      </c>
      <c r="H30" s="25">
        <v>1.4449000000000001</v>
      </c>
      <c r="I30" s="26">
        <v>1.4863</v>
      </c>
      <c r="K30" t="s">
        <v>17</v>
      </c>
      <c r="L30" s="9" t="s">
        <v>27</v>
      </c>
      <c r="M30" s="19">
        <v>1.4491000000000001</v>
      </c>
      <c r="N30" s="19">
        <v>1.5055000000000001</v>
      </c>
      <c r="O30" s="20">
        <v>1.4537</v>
      </c>
      <c r="P30" t="s">
        <v>17</v>
      </c>
      <c r="Q30" s="9" t="s">
        <v>28</v>
      </c>
      <c r="R30" s="19">
        <v>1.4418</v>
      </c>
      <c r="S30" s="20">
        <v>1.5125999999999999</v>
      </c>
      <c r="U30" t="s">
        <v>17</v>
      </c>
      <c r="V30" s="13" t="s">
        <v>29</v>
      </c>
      <c r="W30" s="25">
        <v>1.4429000000000001</v>
      </c>
      <c r="X30" s="25">
        <v>1.5103</v>
      </c>
      <c r="Y30" s="26">
        <v>1.3338000000000001</v>
      </c>
      <c r="Z30" t="s">
        <v>17</v>
      </c>
      <c r="AA30" s="13" t="s">
        <v>30</v>
      </c>
      <c r="AB30" s="25">
        <v>1.4461999999999999</v>
      </c>
      <c r="AC30" s="26">
        <v>1.51</v>
      </c>
      <c r="AG30" s="107"/>
    </row>
    <row r="31" spans="1:33" ht="14.5" x14ac:dyDescent="0.35">
      <c r="A31" t="s">
        <v>24</v>
      </c>
      <c r="B31" s="10" t="s">
        <v>25</v>
      </c>
      <c r="C31" s="21">
        <v>1.4428000000000001</v>
      </c>
      <c r="D31" s="21">
        <v>1.4836</v>
      </c>
      <c r="E31" s="22">
        <v>1.4500999999999999</v>
      </c>
      <c r="G31" s="10" t="s">
        <v>26</v>
      </c>
      <c r="H31" s="21">
        <v>1.4469000000000001</v>
      </c>
      <c r="I31" s="22">
        <v>1.4843</v>
      </c>
      <c r="K31" t="s">
        <v>24</v>
      </c>
      <c r="L31" s="10" t="s">
        <v>27</v>
      </c>
      <c r="M31" s="21">
        <v>1.4473</v>
      </c>
      <c r="N31" s="21">
        <v>1.4930000000000001</v>
      </c>
      <c r="O31" s="22">
        <v>1.4541999999999999</v>
      </c>
      <c r="P31" t="s">
        <v>24</v>
      </c>
      <c r="Q31" s="10" t="s">
        <v>28</v>
      </c>
      <c r="R31" s="21">
        <v>1.4457</v>
      </c>
      <c r="S31" s="22">
        <v>1.4917</v>
      </c>
      <c r="U31" t="s">
        <v>24</v>
      </c>
      <c r="V31" s="10" t="s">
        <v>29</v>
      </c>
      <c r="W31" s="21">
        <v>1.4427000000000001</v>
      </c>
      <c r="X31" s="21">
        <v>1.5071000000000001</v>
      </c>
      <c r="Y31" s="22">
        <v>1.3126</v>
      </c>
      <c r="Z31" t="s">
        <v>24</v>
      </c>
      <c r="AA31" s="10" t="s">
        <v>30</v>
      </c>
      <c r="AB31" s="21">
        <v>1.4460999999999999</v>
      </c>
      <c r="AC31" s="22">
        <v>1.5165999999999999</v>
      </c>
      <c r="AG31" s="107"/>
    </row>
    <row r="32" spans="1:33" ht="14.5" x14ac:dyDescent="0.35">
      <c r="A32" t="s">
        <v>24</v>
      </c>
      <c r="B32" s="10" t="s">
        <v>25</v>
      </c>
      <c r="C32" s="21">
        <v>1.4435</v>
      </c>
      <c r="D32" s="21">
        <v>1.4822</v>
      </c>
      <c r="E32" s="22">
        <v>1.4499</v>
      </c>
      <c r="G32" s="10" t="s">
        <v>26</v>
      </c>
      <c r="H32" s="21">
        <v>1.4467000000000001</v>
      </c>
      <c r="I32" s="22">
        <v>1.486</v>
      </c>
      <c r="K32" t="s">
        <v>24</v>
      </c>
      <c r="L32" s="10" t="s">
        <v>27</v>
      </c>
      <c r="M32" s="21">
        <v>1.4475</v>
      </c>
      <c r="N32" s="21">
        <v>1.4925999999999999</v>
      </c>
      <c r="O32" s="22">
        <v>1.4533</v>
      </c>
      <c r="P32" t="s">
        <v>24</v>
      </c>
      <c r="Q32" s="10" t="s">
        <v>28</v>
      </c>
      <c r="R32" s="21">
        <v>1.4460999999999999</v>
      </c>
      <c r="S32" s="22">
        <v>1.4927999999999999</v>
      </c>
      <c r="U32" t="s">
        <v>24</v>
      </c>
      <c r="V32" s="10" t="s">
        <v>29</v>
      </c>
      <c r="W32" s="21">
        <v>1.4502999999999999</v>
      </c>
      <c r="X32" s="21">
        <v>1.5164</v>
      </c>
      <c r="Y32" s="22">
        <v>1.3629</v>
      </c>
      <c r="Z32" t="s">
        <v>24</v>
      </c>
      <c r="AA32" s="10" t="s">
        <v>30</v>
      </c>
      <c r="AB32" s="21">
        <v>1.4468000000000001</v>
      </c>
      <c r="AC32" s="22">
        <v>1.5182</v>
      </c>
      <c r="AG32" s="107"/>
    </row>
    <row r="33" spans="1:33" ht="14.5" x14ac:dyDescent="0.35">
      <c r="A33" t="s">
        <v>24</v>
      </c>
      <c r="B33" s="10" t="s">
        <v>25</v>
      </c>
      <c r="C33" s="21">
        <v>1.4444999999999999</v>
      </c>
      <c r="D33" s="21">
        <v>1.4810000000000001</v>
      </c>
      <c r="E33" s="22">
        <v>1.4511000000000001</v>
      </c>
      <c r="G33" s="10" t="s">
        <v>26</v>
      </c>
      <c r="H33" s="21">
        <v>1.4461999999999999</v>
      </c>
      <c r="I33" s="22">
        <v>1.4838</v>
      </c>
      <c r="K33" t="s">
        <v>24</v>
      </c>
      <c r="L33" s="10" t="s">
        <v>27</v>
      </c>
      <c r="M33" s="21">
        <v>1.4444999999999999</v>
      </c>
      <c r="N33" s="21">
        <v>1.5062</v>
      </c>
      <c r="O33" s="22">
        <v>1.4547000000000001</v>
      </c>
      <c r="P33" t="s">
        <v>24</v>
      </c>
      <c r="Q33" s="10" t="s">
        <v>28</v>
      </c>
      <c r="R33" s="21">
        <v>1.4514</v>
      </c>
      <c r="S33" s="22">
        <v>1.4951000000000001</v>
      </c>
      <c r="U33" t="s">
        <v>24</v>
      </c>
      <c r="V33" s="10" t="s">
        <v>29</v>
      </c>
      <c r="W33" s="21">
        <v>1.4452</v>
      </c>
      <c r="X33" s="21">
        <v>1.5165999999999999</v>
      </c>
      <c r="Y33" s="22">
        <v>1.3238000000000001</v>
      </c>
      <c r="Z33" t="s">
        <v>24</v>
      </c>
      <c r="AA33" s="10" t="s">
        <v>30</v>
      </c>
      <c r="AB33" s="21">
        <v>1.4469000000000001</v>
      </c>
      <c r="AC33" s="22">
        <v>1.5153000000000001</v>
      </c>
      <c r="AG33" s="107"/>
    </row>
    <row r="34" spans="1:33" thickBot="1" x14ac:dyDescent="0.4">
      <c r="A34" t="s">
        <v>24</v>
      </c>
      <c r="B34" s="11" t="s">
        <v>25</v>
      </c>
      <c r="C34" s="23">
        <v>1.444</v>
      </c>
      <c r="D34" s="23">
        <v>1.484</v>
      </c>
      <c r="E34" s="24">
        <v>1.4495</v>
      </c>
      <c r="G34" s="11" t="s">
        <v>26</v>
      </c>
      <c r="H34" s="23">
        <v>1.4453</v>
      </c>
      <c r="I34" s="24">
        <v>1.4742999999999999</v>
      </c>
      <c r="K34" t="s">
        <v>24</v>
      </c>
      <c r="L34" s="11" t="s">
        <v>27</v>
      </c>
      <c r="M34" s="23">
        <v>1.4447000000000001</v>
      </c>
      <c r="N34" s="23">
        <v>1.4883999999999999</v>
      </c>
      <c r="O34" s="24">
        <v>1.452</v>
      </c>
      <c r="P34" t="s">
        <v>24</v>
      </c>
      <c r="Q34" s="11" t="s">
        <v>28</v>
      </c>
      <c r="R34" s="23">
        <v>1.4464999999999999</v>
      </c>
      <c r="S34" s="24">
        <v>1.5019</v>
      </c>
      <c r="U34" t="s">
        <v>24</v>
      </c>
      <c r="V34" s="11" t="s">
        <v>29</v>
      </c>
      <c r="W34" s="23">
        <v>1.4457</v>
      </c>
      <c r="X34" s="23">
        <v>1.52</v>
      </c>
      <c r="Y34" s="24">
        <v>1.3519000000000001</v>
      </c>
      <c r="Z34" t="s">
        <v>24</v>
      </c>
      <c r="AA34" s="11" t="s">
        <v>30</v>
      </c>
      <c r="AB34" s="23">
        <v>1.444</v>
      </c>
      <c r="AC34" s="24">
        <v>1.5088999999999999</v>
      </c>
      <c r="AG34" s="107"/>
    </row>
    <row r="36" spans="1:33" thickBot="1" x14ac:dyDescent="0.4"/>
    <row r="37" spans="1:33" thickBot="1" x14ac:dyDescent="0.4">
      <c r="B37" s="12" t="s">
        <v>1</v>
      </c>
      <c r="C37" s="1" t="s">
        <v>12</v>
      </c>
      <c r="D37" s="1" t="s">
        <v>102</v>
      </c>
      <c r="E37" s="68">
        <v>46113</v>
      </c>
      <c r="G37" s="12" t="s">
        <v>1</v>
      </c>
      <c r="H37" s="1" t="s">
        <v>12</v>
      </c>
      <c r="I37" s="2" t="s">
        <v>102</v>
      </c>
      <c r="L37" s="12" t="s">
        <v>1</v>
      </c>
      <c r="M37" s="1" t="s">
        <v>12</v>
      </c>
      <c r="N37" s="1" t="s">
        <v>102</v>
      </c>
      <c r="O37" s="68">
        <v>46113</v>
      </c>
      <c r="Q37" s="12" t="s">
        <v>1</v>
      </c>
      <c r="R37" s="1" t="s">
        <v>12</v>
      </c>
      <c r="S37" s="1" t="s">
        <v>102</v>
      </c>
      <c r="V37" s="12" t="s">
        <v>1</v>
      </c>
      <c r="W37" s="1" t="s">
        <v>12</v>
      </c>
      <c r="X37" s="1" t="s">
        <v>102</v>
      </c>
      <c r="Y37" s="49">
        <v>46113</v>
      </c>
      <c r="AA37" s="12" t="s">
        <v>1</v>
      </c>
      <c r="AB37" s="1" t="s">
        <v>12</v>
      </c>
      <c r="AC37" s="1" t="s">
        <v>102</v>
      </c>
    </row>
    <row r="38" spans="1:33" thickBot="1" x14ac:dyDescent="0.4"/>
    <row r="39" spans="1:33" thickBot="1" x14ac:dyDescent="0.4">
      <c r="B39" s="3" t="s">
        <v>3</v>
      </c>
      <c r="C39" s="4" t="s">
        <v>4</v>
      </c>
      <c r="D39" s="4" t="s">
        <v>15</v>
      </c>
      <c r="E39" s="5" t="s">
        <v>16</v>
      </c>
      <c r="G39" s="3" t="s">
        <v>3</v>
      </c>
      <c r="H39" s="4" t="s">
        <v>4</v>
      </c>
      <c r="I39" s="5" t="s">
        <v>15</v>
      </c>
      <c r="L39" s="6" t="s">
        <v>3</v>
      </c>
      <c r="M39" s="7" t="s">
        <v>4</v>
      </c>
      <c r="N39" s="7" t="s">
        <v>15</v>
      </c>
      <c r="O39" s="8" t="s">
        <v>16</v>
      </c>
      <c r="Q39" s="6" t="s">
        <v>3</v>
      </c>
      <c r="R39" s="7" t="s">
        <v>4</v>
      </c>
      <c r="S39" s="8" t="s">
        <v>15</v>
      </c>
      <c r="V39" s="6" t="s">
        <v>3</v>
      </c>
      <c r="W39" s="7" t="s">
        <v>4</v>
      </c>
      <c r="X39" s="7" t="s">
        <v>15</v>
      </c>
      <c r="Y39" s="8" t="s">
        <v>16</v>
      </c>
      <c r="AA39" s="6" t="s">
        <v>3</v>
      </c>
      <c r="AB39" s="7" t="s">
        <v>4</v>
      </c>
      <c r="AC39" s="8" t="s">
        <v>15</v>
      </c>
    </row>
    <row r="40" spans="1:33" ht="14.5" x14ac:dyDescent="0.35">
      <c r="A40" t="s">
        <v>17</v>
      </c>
      <c r="B40" s="13" t="s">
        <v>31</v>
      </c>
      <c r="C40" s="25">
        <v>1.4436</v>
      </c>
      <c r="D40" s="25">
        <v>1.4863</v>
      </c>
      <c r="E40" s="26">
        <v>1.4481999999999999</v>
      </c>
      <c r="G40" s="13" t="s">
        <v>32</v>
      </c>
      <c r="H40" s="25">
        <v>1.4490000000000001</v>
      </c>
      <c r="I40" s="26">
        <v>1.4992000000000001</v>
      </c>
      <c r="K40" t="s">
        <v>17</v>
      </c>
      <c r="L40" s="9" t="s">
        <v>33</v>
      </c>
      <c r="M40" s="19">
        <v>1.4500999999999999</v>
      </c>
      <c r="N40" s="19">
        <v>1.5012000000000001</v>
      </c>
      <c r="O40" s="20">
        <v>1.4544999999999999</v>
      </c>
      <c r="Q40" s="9" t="s">
        <v>34</v>
      </c>
      <c r="R40" s="19">
        <v>1.4426000000000001</v>
      </c>
      <c r="S40" s="20">
        <v>1.5385</v>
      </c>
      <c r="U40" t="s">
        <v>17</v>
      </c>
      <c r="V40" s="52" t="s">
        <v>35</v>
      </c>
      <c r="W40" s="53">
        <v>1.4498</v>
      </c>
      <c r="X40" s="54" t="s">
        <v>101</v>
      </c>
      <c r="Y40" s="55"/>
      <c r="Z40" t="s">
        <v>17</v>
      </c>
      <c r="AA40" s="52" t="s">
        <v>36</v>
      </c>
      <c r="AB40" s="63">
        <v>1.4440999999999999</v>
      </c>
      <c r="AC40" s="64" t="s">
        <v>101</v>
      </c>
      <c r="AG40" s="107"/>
    </row>
    <row r="41" spans="1:33" ht="14.5" x14ac:dyDescent="0.35">
      <c r="A41" t="s">
        <v>24</v>
      </c>
      <c r="B41" s="10" t="s">
        <v>31</v>
      </c>
      <c r="C41" s="21">
        <v>1.4410000000000001</v>
      </c>
      <c r="D41" s="21">
        <v>1.4772000000000001</v>
      </c>
      <c r="E41" s="22">
        <v>1.4470000000000001</v>
      </c>
      <c r="G41" s="10" t="s">
        <v>32</v>
      </c>
      <c r="H41" s="21">
        <v>1.4432</v>
      </c>
      <c r="I41" s="22">
        <v>1.4816</v>
      </c>
      <c r="K41" t="s">
        <v>24</v>
      </c>
      <c r="L41" s="10" t="s">
        <v>33</v>
      </c>
      <c r="M41" s="21">
        <v>1.444</v>
      </c>
      <c r="N41" s="21">
        <v>1.7134</v>
      </c>
      <c r="O41" s="22">
        <v>1.4550000000000001</v>
      </c>
      <c r="Q41" s="10" t="s">
        <v>34</v>
      </c>
      <c r="R41" s="21">
        <v>1.444</v>
      </c>
      <c r="S41" s="22">
        <v>1.5078</v>
      </c>
      <c r="U41" t="s">
        <v>24</v>
      </c>
      <c r="V41" s="56" t="s">
        <v>35</v>
      </c>
      <c r="W41" s="21">
        <v>1.4461999999999999</v>
      </c>
      <c r="X41" s="50" t="s">
        <v>101</v>
      </c>
      <c r="Y41" s="57"/>
      <c r="Z41" t="s">
        <v>24</v>
      </c>
      <c r="AA41" s="56" t="s">
        <v>36</v>
      </c>
      <c r="AB41" s="62">
        <v>1.4413</v>
      </c>
      <c r="AC41" s="65" t="s">
        <v>101</v>
      </c>
      <c r="AG41" s="107"/>
    </row>
    <row r="42" spans="1:33" ht="14.5" x14ac:dyDescent="0.35">
      <c r="A42" t="s">
        <v>24</v>
      </c>
      <c r="B42" s="10" t="s">
        <v>31</v>
      </c>
      <c r="C42" s="21">
        <v>1.444</v>
      </c>
      <c r="D42" s="21">
        <v>1.5213000000000001</v>
      </c>
      <c r="E42" s="22">
        <v>1.4491000000000001</v>
      </c>
      <c r="G42" s="10" t="s">
        <v>32</v>
      </c>
      <c r="H42" s="21">
        <v>1.4419</v>
      </c>
      <c r="I42" s="22">
        <v>1.4813000000000001</v>
      </c>
      <c r="K42" t="s">
        <v>24</v>
      </c>
      <c r="L42" s="10" t="s">
        <v>33</v>
      </c>
      <c r="M42" s="21">
        <v>1.4400999999999999</v>
      </c>
      <c r="N42" s="21">
        <v>1.4853000000000001</v>
      </c>
      <c r="O42" s="22">
        <v>1.4516</v>
      </c>
      <c r="Q42" s="10" t="s">
        <v>34</v>
      </c>
      <c r="R42" s="21">
        <v>1.4450000000000001</v>
      </c>
      <c r="S42" s="22">
        <v>1.5019</v>
      </c>
      <c r="U42" t="s">
        <v>24</v>
      </c>
      <c r="V42" s="56" t="s">
        <v>35</v>
      </c>
      <c r="W42" s="21">
        <v>1.4477</v>
      </c>
      <c r="X42" s="50" t="s">
        <v>101</v>
      </c>
      <c r="Y42" s="57"/>
      <c r="Z42" t="s">
        <v>24</v>
      </c>
      <c r="AA42" s="56" t="s">
        <v>36</v>
      </c>
      <c r="AB42" s="62">
        <v>1.4411</v>
      </c>
      <c r="AC42" s="65" t="s">
        <v>101</v>
      </c>
      <c r="AG42" s="107"/>
    </row>
    <row r="43" spans="1:33" ht="14.5" x14ac:dyDescent="0.35">
      <c r="A43" t="s">
        <v>24</v>
      </c>
      <c r="B43" s="10" t="s">
        <v>31</v>
      </c>
      <c r="C43" s="21">
        <v>1.4415</v>
      </c>
      <c r="D43" s="21">
        <v>1.4723999999999999</v>
      </c>
      <c r="E43" s="22">
        <v>1.4478</v>
      </c>
      <c r="G43" s="10" t="s">
        <v>32</v>
      </c>
      <c r="H43" s="21">
        <v>1.4394</v>
      </c>
      <c r="I43" s="22">
        <v>1.4754</v>
      </c>
      <c r="K43" t="s">
        <v>24</v>
      </c>
      <c r="L43" s="10" t="s">
        <v>33</v>
      </c>
      <c r="M43" s="21">
        <v>1.4460999999999999</v>
      </c>
      <c r="N43" s="21">
        <v>1.5355000000000001</v>
      </c>
      <c r="O43" s="22">
        <v>1.4545999999999999</v>
      </c>
      <c r="Q43" s="10" t="s">
        <v>34</v>
      </c>
      <c r="R43" s="21">
        <v>1.4454</v>
      </c>
      <c r="S43" s="22">
        <v>1.4988999999999999</v>
      </c>
      <c r="U43" t="s">
        <v>24</v>
      </c>
      <c r="V43" s="56" t="s">
        <v>35</v>
      </c>
      <c r="W43" s="21">
        <v>1.4426000000000001</v>
      </c>
      <c r="X43" s="51" t="s">
        <v>101</v>
      </c>
      <c r="Y43" s="57"/>
      <c r="Z43" t="s">
        <v>24</v>
      </c>
      <c r="AA43" s="56" t="s">
        <v>36</v>
      </c>
      <c r="AB43" s="62">
        <v>1.444</v>
      </c>
      <c r="AC43" s="65" t="s">
        <v>101</v>
      </c>
      <c r="AG43" s="107"/>
    </row>
    <row r="44" spans="1:33" thickBot="1" x14ac:dyDescent="0.4">
      <c r="A44" t="s">
        <v>24</v>
      </c>
      <c r="B44" s="11" t="s">
        <v>31</v>
      </c>
      <c r="C44" s="23">
        <v>1.4424999999999999</v>
      </c>
      <c r="D44" s="23">
        <v>1.4953000000000001</v>
      </c>
      <c r="E44" s="24">
        <v>1.4484999999999999</v>
      </c>
      <c r="G44" s="11" t="s">
        <v>32</v>
      </c>
      <c r="H44" s="23">
        <v>1.4455</v>
      </c>
      <c r="I44" s="24">
        <v>1.5049999999999999</v>
      </c>
      <c r="K44" t="s">
        <v>24</v>
      </c>
      <c r="L44" s="11" t="s">
        <v>33</v>
      </c>
      <c r="M44" s="23">
        <v>1.4449000000000001</v>
      </c>
      <c r="N44" s="23">
        <v>1.4957</v>
      </c>
      <c r="O44" s="24">
        <v>1.4520999999999999</v>
      </c>
      <c r="Q44" s="11" t="s">
        <v>34</v>
      </c>
      <c r="R44" s="23">
        <v>1.4448000000000001</v>
      </c>
      <c r="S44" s="24">
        <v>1.5091000000000001</v>
      </c>
      <c r="U44" t="s">
        <v>24</v>
      </c>
      <c r="V44" s="58" t="s">
        <v>35</v>
      </c>
      <c r="W44" s="59">
        <v>1.4451000000000001</v>
      </c>
      <c r="X44" s="60" t="s">
        <v>101</v>
      </c>
      <c r="Y44" s="61"/>
      <c r="Z44" t="s">
        <v>24</v>
      </c>
      <c r="AA44" s="58" t="s">
        <v>36</v>
      </c>
      <c r="AB44" s="66">
        <v>1.4515</v>
      </c>
      <c r="AC44" s="67" t="s">
        <v>101</v>
      </c>
      <c r="AG44" s="107"/>
    </row>
    <row r="46" spans="1:33" thickBot="1" x14ac:dyDescent="0.4"/>
    <row r="47" spans="1:33" thickBot="1" x14ac:dyDescent="0.4">
      <c r="B47" s="12" t="s">
        <v>1</v>
      </c>
      <c r="C47" s="1" t="s">
        <v>12</v>
      </c>
      <c r="D47" s="49">
        <v>46133</v>
      </c>
      <c r="E47" s="68">
        <v>46135</v>
      </c>
      <c r="G47" s="12" t="s">
        <v>1</v>
      </c>
      <c r="H47" s="1" t="s">
        <v>12</v>
      </c>
      <c r="I47" s="68">
        <v>46133</v>
      </c>
      <c r="L47" s="12" t="s">
        <v>1</v>
      </c>
      <c r="M47" s="1" t="s">
        <v>12</v>
      </c>
      <c r="N47" s="49">
        <v>46133</v>
      </c>
      <c r="O47" s="68">
        <v>46135</v>
      </c>
      <c r="Q47" s="12" t="s">
        <v>1</v>
      </c>
      <c r="R47" s="1" t="s">
        <v>12</v>
      </c>
      <c r="S47" s="68">
        <v>46133</v>
      </c>
      <c r="V47" s="12" t="s">
        <v>1</v>
      </c>
      <c r="W47" s="1" t="s">
        <v>12</v>
      </c>
      <c r="X47" s="49">
        <v>46133</v>
      </c>
      <c r="Y47" s="68">
        <v>46135</v>
      </c>
      <c r="AA47" s="12" t="s">
        <v>1</v>
      </c>
      <c r="AB47" s="1" t="s">
        <v>12</v>
      </c>
      <c r="AC47" s="68">
        <v>46111</v>
      </c>
    </row>
    <row r="48" spans="1:33" thickBot="1" x14ac:dyDescent="0.4"/>
    <row r="49" spans="1:33" thickBot="1" x14ac:dyDescent="0.4">
      <c r="B49" s="3" t="s">
        <v>3</v>
      </c>
      <c r="C49" s="4" t="s">
        <v>4</v>
      </c>
      <c r="D49" s="4" t="s">
        <v>15</v>
      </c>
      <c r="E49" s="5" t="s">
        <v>16</v>
      </c>
      <c r="G49" s="3" t="s">
        <v>3</v>
      </c>
      <c r="H49" s="4" t="s">
        <v>4</v>
      </c>
      <c r="I49" s="5" t="s">
        <v>15</v>
      </c>
      <c r="L49" s="6" t="s">
        <v>3</v>
      </c>
      <c r="M49" s="7" t="s">
        <v>4</v>
      </c>
      <c r="N49" s="7" t="s">
        <v>15</v>
      </c>
      <c r="O49" s="8" t="s">
        <v>16</v>
      </c>
      <c r="Q49" s="6" t="s">
        <v>3</v>
      </c>
      <c r="R49" s="7" t="s">
        <v>4</v>
      </c>
      <c r="S49" s="8" t="s">
        <v>15</v>
      </c>
      <c r="V49" s="6" t="s">
        <v>3</v>
      </c>
      <c r="W49" s="7" t="s">
        <v>4</v>
      </c>
      <c r="X49" s="7" t="s">
        <v>15</v>
      </c>
      <c r="Y49" s="8" t="s">
        <v>16</v>
      </c>
      <c r="AA49" s="6" t="s">
        <v>3</v>
      </c>
      <c r="AB49" s="7" t="s">
        <v>4</v>
      </c>
      <c r="AC49" s="8" t="s">
        <v>15</v>
      </c>
    </row>
    <row r="50" spans="1:33" ht="14.5" x14ac:dyDescent="0.35">
      <c r="A50" t="s">
        <v>17</v>
      </c>
      <c r="B50" s="13" t="s">
        <v>37</v>
      </c>
      <c r="C50" s="25">
        <v>1.4457</v>
      </c>
      <c r="D50" s="25">
        <v>1.4984999999999999</v>
      </c>
      <c r="E50" s="20">
        <v>1.4541999999999999</v>
      </c>
      <c r="G50" s="13" t="s">
        <v>38</v>
      </c>
      <c r="H50" s="25">
        <v>1.446</v>
      </c>
      <c r="I50" s="26">
        <v>1.4964</v>
      </c>
      <c r="K50" t="s">
        <v>17</v>
      </c>
      <c r="L50" s="9" t="s">
        <v>39</v>
      </c>
      <c r="M50" s="19">
        <v>1.4413</v>
      </c>
      <c r="N50" s="19">
        <v>1.5006999999999999</v>
      </c>
      <c r="O50" s="20">
        <v>1.4523999999999999</v>
      </c>
      <c r="Q50" s="9" t="s">
        <v>40</v>
      </c>
      <c r="R50" s="19">
        <v>1.4410000000000001</v>
      </c>
      <c r="S50" s="20">
        <v>1.49</v>
      </c>
      <c r="U50" t="s">
        <v>17</v>
      </c>
      <c r="V50" s="9" t="s">
        <v>41</v>
      </c>
      <c r="W50" s="19">
        <v>1.444</v>
      </c>
      <c r="X50" s="19">
        <v>1.3988</v>
      </c>
      <c r="Y50" s="20">
        <v>1.1619999999999999</v>
      </c>
      <c r="Z50" t="s">
        <v>17</v>
      </c>
      <c r="AA50" s="9" t="s">
        <v>42</v>
      </c>
      <c r="AB50" s="19">
        <v>1.4438</v>
      </c>
      <c r="AC50" s="20">
        <v>1.3973</v>
      </c>
      <c r="AG50" s="107"/>
    </row>
    <row r="51" spans="1:33" ht="14.5" x14ac:dyDescent="0.35">
      <c r="A51" t="s">
        <v>24</v>
      </c>
      <c r="B51" s="10" t="s">
        <v>37</v>
      </c>
      <c r="C51" s="21">
        <v>1.4458</v>
      </c>
      <c r="D51" s="21">
        <v>1.5065999999999999</v>
      </c>
      <c r="E51" s="22">
        <v>1.4550000000000001</v>
      </c>
      <c r="G51" s="10" t="s">
        <v>38</v>
      </c>
      <c r="H51" s="21">
        <v>1.4426000000000001</v>
      </c>
      <c r="I51" s="22">
        <v>1.4937</v>
      </c>
      <c r="K51" t="s">
        <v>24</v>
      </c>
      <c r="L51" s="10" t="s">
        <v>39</v>
      </c>
      <c r="M51" s="21">
        <v>1.4460999999999999</v>
      </c>
      <c r="N51" s="21">
        <v>1.5084</v>
      </c>
      <c r="O51" s="22">
        <v>1.4554</v>
      </c>
      <c r="Q51" s="10" t="s">
        <v>40</v>
      </c>
      <c r="R51" s="21">
        <v>1.4448000000000001</v>
      </c>
      <c r="S51" s="22">
        <v>1.5096000000000001</v>
      </c>
      <c r="U51" t="s">
        <v>24</v>
      </c>
      <c r="V51" s="10" t="s">
        <v>41</v>
      </c>
      <c r="W51" s="21">
        <v>1.4446000000000001</v>
      </c>
      <c r="X51" s="21">
        <v>1.3995</v>
      </c>
      <c r="Y51" s="22">
        <v>1.1694</v>
      </c>
      <c r="Z51" t="s">
        <v>24</v>
      </c>
      <c r="AA51" s="10" t="s">
        <v>42</v>
      </c>
      <c r="AB51" s="21">
        <v>1.4460999999999999</v>
      </c>
      <c r="AC51" s="22">
        <v>1.3964000000000001</v>
      </c>
      <c r="AG51" s="107"/>
    </row>
    <row r="52" spans="1:33" ht="14.5" x14ac:dyDescent="0.35">
      <c r="A52" t="s">
        <v>24</v>
      </c>
      <c r="B52" s="10" t="s">
        <v>37</v>
      </c>
      <c r="C52" s="21">
        <v>1.4472</v>
      </c>
      <c r="D52" s="21">
        <v>1.5096000000000001</v>
      </c>
      <c r="E52" s="22">
        <v>1.4550000000000001</v>
      </c>
      <c r="G52" s="10" t="s">
        <v>38</v>
      </c>
      <c r="H52" s="21">
        <v>1.4464999999999999</v>
      </c>
      <c r="I52" s="22">
        <v>1.4992000000000001</v>
      </c>
      <c r="K52" t="s">
        <v>24</v>
      </c>
      <c r="L52" s="10" t="s">
        <v>39</v>
      </c>
      <c r="M52" s="21">
        <v>1.4429000000000001</v>
      </c>
      <c r="N52" s="21">
        <v>1.4974000000000001</v>
      </c>
      <c r="O52" s="22">
        <v>1.452</v>
      </c>
      <c r="Q52" s="10" t="s">
        <v>40</v>
      </c>
      <c r="R52" s="21">
        <v>1.4428000000000001</v>
      </c>
      <c r="S52" s="22">
        <v>1.5071000000000001</v>
      </c>
      <c r="U52" t="s">
        <v>24</v>
      </c>
      <c r="V52" s="10" t="s">
        <v>41</v>
      </c>
      <c r="W52" s="21">
        <v>1.4444999999999999</v>
      </c>
      <c r="X52" s="21">
        <v>1.3995</v>
      </c>
      <c r="Y52" s="22">
        <v>1.1687000000000001</v>
      </c>
      <c r="Z52" t="s">
        <v>24</v>
      </c>
      <c r="AA52" s="10" t="s">
        <v>42</v>
      </c>
      <c r="AB52" s="21">
        <v>1.4452</v>
      </c>
      <c r="AC52" s="22">
        <v>1.3982000000000001</v>
      </c>
      <c r="AG52" s="107"/>
    </row>
    <row r="53" spans="1:33" ht="14.5" x14ac:dyDescent="0.35">
      <c r="A53" t="s">
        <v>24</v>
      </c>
      <c r="B53" s="10" t="s">
        <v>37</v>
      </c>
      <c r="C53" s="21">
        <v>1.4431</v>
      </c>
      <c r="D53" s="21">
        <v>1.5061</v>
      </c>
      <c r="E53" s="22">
        <v>1.4569000000000001</v>
      </c>
      <c r="G53" s="10" t="s">
        <v>38</v>
      </c>
      <c r="H53" s="21">
        <v>1.4412</v>
      </c>
      <c r="I53" s="22">
        <v>1.4938</v>
      </c>
      <c r="K53" t="s">
        <v>24</v>
      </c>
      <c r="L53" s="10" t="s">
        <v>39</v>
      </c>
      <c r="M53" s="21">
        <v>1.4456</v>
      </c>
      <c r="N53" s="21">
        <v>1.5073000000000001</v>
      </c>
      <c r="O53" s="22">
        <v>1.4548000000000001</v>
      </c>
      <c r="Q53" s="10" t="s">
        <v>40</v>
      </c>
      <c r="R53" s="21">
        <v>1.4446000000000001</v>
      </c>
      <c r="S53" s="22">
        <v>1.506</v>
      </c>
      <c r="U53" t="s">
        <v>24</v>
      </c>
      <c r="V53" s="10" t="s">
        <v>41</v>
      </c>
      <c r="W53" s="21">
        <v>1.4521999999999999</v>
      </c>
      <c r="X53" s="21">
        <v>1.3873</v>
      </c>
      <c r="Y53" s="22">
        <v>1.1617999999999999</v>
      </c>
      <c r="Z53" t="s">
        <v>24</v>
      </c>
      <c r="AA53" s="10" t="s">
        <v>42</v>
      </c>
      <c r="AB53" s="21">
        <v>1.4488000000000001</v>
      </c>
      <c r="AC53" s="22">
        <v>1.4007000000000001</v>
      </c>
      <c r="AG53" s="107"/>
    </row>
    <row r="54" spans="1:33" thickBot="1" x14ac:dyDescent="0.4">
      <c r="A54" t="s">
        <v>24</v>
      </c>
      <c r="B54" s="11" t="s">
        <v>37</v>
      </c>
      <c r="C54" s="23">
        <v>1.4452</v>
      </c>
      <c r="D54" s="23">
        <v>1.506</v>
      </c>
      <c r="E54" s="24">
        <v>1.4534</v>
      </c>
      <c r="G54" s="11" t="s">
        <v>38</v>
      </c>
      <c r="H54" s="23">
        <v>1.4481999999999999</v>
      </c>
      <c r="I54" s="24">
        <v>1.5048999999999999</v>
      </c>
      <c r="K54" t="s">
        <v>24</v>
      </c>
      <c r="L54" s="11" t="s">
        <v>39</v>
      </c>
      <c r="M54" s="23">
        <v>1.4433</v>
      </c>
      <c r="N54" s="23">
        <v>1.5091000000000001</v>
      </c>
      <c r="O54" s="24">
        <v>1.4520999999999999</v>
      </c>
      <c r="Q54" s="11" t="s">
        <v>40</v>
      </c>
      <c r="R54" s="23">
        <v>1.446</v>
      </c>
      <c r="S54" s="24">
        <v>1.5121</v>
      </c>
      <c r="U54" t="s">
        <v>24</v>
      </c>
      <c r="V54" s="11" t="s">
        <v>41</v>
      </c>
      <c r="W54" s="23">
        <v>1.4477</v>
      </c>
      <c r="X54" s="23">
        <v>1.393</v>
      </c>
      <c r="Y54" s="24">
        <v>1.1718</v>
      </c>
      <c r="Z54" t="s">
        <v>24</v>
      </c>
      <c r="AA54" s="11" t="s">
        <v>42</v>
      </c>
      <c r="AB54" s="23">
        <v>1.4424999999999999</v>
      </c>
      <c r="AC54" s="24">
        <v>1.3965000000000001</v>
      </c>
      <c r="AG54" s="107"/>
    </row>
    <row r="58" spans="1:33" ht="15" customHeight="1" x14ac:dyDescent="0.35">
      <c r="C58" s="30"/>
      <c r="D58" s="30"/>
      <c r="E58" s="30"/>
      <c r="L58" s="30"/>
      <c r="M58" s="30"/>
      <c r="N58" s="30"/>
      <c r="V58" s="30"/>
      <c r="W58" s="30"/>
      <c r="X58" s="30"/>
    </row>
    <row r="59" spans="1:33" ht="15" customHeight="1" x14ac:dyDescent="0.35">
      <c r="C59" s="30"/>
      <c r="D59" s="30"/>
      <c r="E59" s="30"/>
      <c r="L59" s="30"/>
      <c r="M59" s="30"/>
      <c r="N59" s="30"/>
      <c r="V59" s="30"/>
      <c r="W59" s="30"/>
      <c r="X59" s="30"/>
    </row>
    <row r="60" spans="1:33" ht="15" customHeight="1" x14ac:dyDescent="0.35">
      <c r="C60" s="30"/>
      <c r="D60" s="30"/>
      <c r="E60" s="30"/>
      <c r="L60" s="30"/>
      <c r="M60" s="30"/>
      <c r="N60" s="30"/>
      <c r="V60" s="30"/>
      <c r="W60" s="30"/>
      <c r="X60" s="30"/>
    </row>
    <row r="61" spans="1:33" ht="15" customHeight="1" x14ac:dyDescent="0.35">
      <c r="C61" s="30"/>
      <c r="D61" s="30"/>
      <c r="E61" s="30"/>
      <c r="L61" s="30"/>
      <c r="M61" s="30"/>
      <c r="N61" s="30"/>
      <c r="V61" s="30"/>
      <c r="W61" s="30"/>
      <c r="X61" s="30"/>
    </row>
    <row r="62" spans="1:33" ht="15" customHeight="1" x14ac:dyDescent="0.35">
      <c r="C62" s="30"/>
      <c r="D62" s="30"/>
      <c r="E62" s="30"/>
      <c r="L62" s="30"/>
      <c r="M62" s="30"/>
      <c r="N62" s="30"/>
      <c r="V62" s="30"/>
      <c r="W62" s="30"/>
      <c r="X62" s="30"/>
    </row>
    <row r="64" spans="1:33" ht="15" customHeight="1" x14ac:dyDescent="0.35">
      <c r="D64" s="30"/>
      <c r="E64" s="30"/>
      <c r="M64" s="30"/>
      <c r="N64" s="30"/>
      <c r="W64" s="30"/>
      <c r="X64" s="30"/>
    </row>
    <row r="65" spans="3:24" ht="15" customHeight="1" x14ac:dyDescent="0.35">
      <c r="C65" s="30"/>
      <c r="D65" s="30"/>
      <c r="E65" s="30"/>
      <c r="M65" s="30"/>
      <c r="N65" s="30"/>
      <c r="W65" s="30"/>
      <c r="X65" s="30"/>
    </row>
    <row r="66" spans="3:24" ht="15" customHeight="1" x14ac:dyDescent="0.35">
      <c r="D66" s="30"/>
      <c r="E66" s="30"/>
      <c r="M66" s="30"/>
      <c r="N66" s="30"/>
      <c r="W66" s="30"/>
      <c r="X66" s="30"/>
    </row>
    <row r="67" spans="3:24" ht="15" customHeight="1" x14ac:dyDescent="0.35">
      <c r="D67" s="30"/>
      <c r="E67" s="30"/>
      <c r="M67" s="30"/>
      <c r="N67" s="30"/>
      <c r="W67" s="30"/>
      <c r="X67" s="30"/>
    </row>
    <row r="68" spans="3:24" ht="15" customHeight="1" x14ac:dyDescent="0.35">
      <c r="D68" s="30"/>
      <c r="E68" s="30"/>
      <c r="M68" s="30"/>
      <c r="N68" s="30"/>
      <c r="W68" s="30"/>
      <c r="X68" s="30"/>
    </row>
    <row r="71" spans="3:24" ht="15" customHeight="1" x14ac:dyDescent="0.35">
      <c r="C71" s="30"/>
      <c r="D71" s="30"/>
      <c r="E71" s="30"/>
      <c r="L71" s="30"/>
      <c r="M71" s="30"/>
      <c r="N71" s="30"/>
      <c r="V71" s="30"/>
      <c r="W71" s="30"/>
      <c r="X71" s="30"/>
    </row>
    <row r="72" spans="3:24" ht="15" customHeight="1" x14ac:dyDescent="0.35">
      <c r="C72" s="30"/>
      <c r="D72" s="30"/>
      <c r="E72" s="30"/>
      <c r="L72" s="30"/>
      <c r="M72" s="30"/>
      <c r="N72" s="30"/>
      <c r="V72" s="30"/>
      <c r="W72" s="30"/>
      <c r="X72" s="30"/>
    </row>
    <row r="73" spans="3:24" ht="15" customHeight="1" x14ac:dyDescent="0.35">
      <c r="C73" s="30"/>
      <c r="D73" s="30"/>
      <c r="E73" s="30"/>
      <c r="L73" s="30"/>
      <c r="M73" s="30"/>
      <c r="N73" s="30"/>
      <c r="V73" s="30"/>
      <c r="W73" s="30"/>
      <c r="X73" s="30"/>
    </row>
    <row r="74" spans="3:24" ht="15" customHeight="1" x14ac:dyDescent="0.35">
      <c r="C74" s="30"/>
      <c r="D74" s="30"/>
      <c r="E74" s="30"/>
      <c r="L74" s="30"/>
      <c r="M74" s="30"/>
      <c r="N74" s="30"/>
      <c r="V74" s="30"/>
      <c r="W74" s="30"/>
      <c r="X74" s="30"/>
    </row>
    <row r="75" spans="3:24" ht="15" customHeight="1" x14ac:dyDescent="0.35">
      <c r="C75" s="30"/>
      <c r="D75" s="30"/>
      <c r="E75" s="30"/>
      <c r="L75" s="30"/>
      <c r="M75" s="30"/>
      <c r="N75" s="30"/>
      <c r="V75" s="30"/>
      <c r="W75" s="30"/>
      <c r="X75" s="30"/>
    </row>
    <row r="77" spans="3:24" ht="15" customHeight="1" x14ac:dyDescent="0.35">
      <c r="D77" s="30"/>
      <c r="E77" s="30"/>
      <c r="M77" s="30"/>
      <c r="N77" s="30"/>
      <c r="W77" s="30"/>
      <c r="X77" s="30"/>
    </row>
    <row r="78" spans="3:24" ht="15" customHeight="1" x14ac:dyDescent="0.35">
      <c r="D78" s="30"/>
      <c r="E78" s="30"/>
      <c r="M78" s="30"/>
      <c r="N78" s="30"/>
      <c r="W78" s="30"/>
      <c r="X78" s="30"/>
    </row>
    <row r="79" spans="3:24" ht="15" customHeight="1" x14ac:dyDescent="0.35">
      <c r="D79" s="30"/>
      <c r="E79" s="30"/>
      <c r="M79" s="30"/>
      <c r="N79" s="30"/>
      <c r="W79" s="30"/>
      <c r="X79" s="30"/>
    </row>
    <row r="80" spans="3:24" ht="15" customHeight="1" x14ac:dyDescent="0.35">
      <c r="D80" s="30"/>
      <c r="E80" s="30"/>
      <c r="M80" s="30"/>
      <c r="N80" s="30"/>
      <c r="W80" s="30"/>
      <c r="X80" s="30"/>
    </row>
    <row r="81" spans="3:24" ht="15" customHeight="1" x14ac:dyDescent="0.35">
      <c r="D81" s="30"/>
      <c r="E81" s="30"/>
      <c r="M81" s="30"/>
      <c r="N81" s="30"/>
      <c r="W81" s="30"/>
      <c r="X81" s="30"/>
    </row>
    <row r="84" spans="3:24" ht="15" customHeight="1" x14ac:dyDescent="0.35">
      <c r="C84" s="30"/>
      <c r="D84" s="30"/>
      <c r="E84" s="30"/>
    </row>
    <row r="85" spans="3:24" ht="15" customHeight="1" x14ac:dyDescent="0.35">
      <c r="C85" s="30"/>
      <c r="D85" s="30"/>
      <c r="E85" s="30"/>
    </row>
    <row r="86" spans="3:24" ht="15" customHeight="1" x14ac:dyDescent="0.35">
      <c r="C86" s="30"/>
      <c r="D86" s="30"/>
      <c r="E86" s="30"/>
    </row>
    <row r="87" spans="3:24" ht="15" customHeight="1" x14ac:dyDescent="0.35">
      <c r="C87" s="30"/>
      <c r="D87" s="30"/>
      <c r="E87" s="30"/>
    </row>
    <row r="88" spans="3:24" ht="15" customHeight="1" x14ac:dyDescent="0.35">
      <c r="C88" s="30"/>
      <c r="D88" s="30"/>
      <c r="E88" s="30"/>
    </row>
    <row r="90" spans="3:24" ht="15" customHeight="1" x14ac:dyDescent="0.35">
      <c r="D90" s="30"/>
      <c r="E90" s="30"/>
    </row>
    <row r="91" spans="3:24" ht="15" customHeight="1" x14ac:dyDescent="0.35">
      <c r="D91" s="30"/>
      <c r="E91" s="30"/>
    </row>
    <row r="92" spans="3:24" ht="15" customHeight="1" x14ac:dyDescent="0.35">
      <c r="D92" s="30"/>
      <c r="E92" s="30"/>
    </row>
    <row r="93" spans="3:24" ht="15" customHeight="1" x14ac:dyDescent="0.35">
      <c r="D93" s="30"/>
      <c r="E93" s="30"/>
    </row>
    <row r="94" spans="3:24" ht="15" customHeight="1" x14ac:dyDescent="0.35">
      <c r="D94" s="30"/>
      <c r="E94" s="30"/>
    </row>
  </sheetData>
  <mergeCells count="7">
    <mergeCell ref="D2:F2"/>
    <mergeCell ref="B13:C13"/>
    <mergeCell ref="L13:M13"/>
    <mergeCell ref="V13:W13"/>
    <mergeCell ref="AF13:AG13"/>
    <mergeCell ref="B4:C4"/>
    <mergeCell ref="D4:E4"/>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D3C14-C88C-41E0-9BB2-67EB33F212A0}">
  <dimension ref="A1:R128"/>
  <sheetViews>
    <sheetView zoomScale="58" zoomScaleNormal="58" workbookViewId="0">
      <selection activeCell="U12" sqref="U12"/>
    </sheetView>
  </sheetViews>
  <sheetFormatPr baseColWidth="10" defaultRowHeight="14.5" x14ac:dyDescent="0.35"/>
  <cols>
    <col min="11" max="11" width="12.1796875" customWidth="1"/>
    <col min="14" max="14" width="11.90625" customWidth="1"/>
    <col min="15" max="15" width="11.6328125" customWidth="1"/>
  </cols>
  <sheetData>
    <row r="1" spans="1:17" ht="28.5" x14ac:dyDescent="0.65">
      <c r="A1" s="116" t="s">
        <v>559</v>
      </c>
    </row>
    <row r="3" spans="1:17" ht="15" thickBot="1" x14ac:dyDescent="0.4"/>
    <row r="4" spans="1:17" x14ac:dyDescent="0.35">
      <c r="A4" s="166" t="s">
        <v>432</v>
      </c>
      <c r="B4" s="164" t="s">
        <v>437</v>
      </c>
      <c r="C4" s="164" t="s">
        <v>103</v>
      </c>
      <c r="D4" s="164" t="s">
        <v>104</v>
      </c>
      <c r="E4" s="164" t="s">
        <v>1</v>
      </c>
      <c r="F4" s="164" t="s">
        <v>3</v>
      </c>
      <c r="G4" s="164" t="s">
        <v>4</v>
      </c>
      <c r="H4" s="164" t="s">
        <v>105</v>
      </c>
      <c r="I4" s="170" t="s">
        <v>118</v>
      </c>
      <c r="J4" s="164" t="s">
        <v>106</v>
      </c>
      <c r="K4" s="172" t="s">
        <v>435</v>
      </c>
      <c r="L4" s="164" t="s">
        <v>433</v>
      </c>
      <c r="M4" s="164" t="s">
        <v>434</v>
      </c>
      <c r="N4" s="170" t="s">
        <v>117</v>
      </c>
      <c r="O4" s="172" t="s">
        <v>436</v>
      </c>
      <c r="P4" s="164" t="s">
        <v>433</v>
      </c>
      <c r="Q4" s="168" t="s">
        <v>434</v>
      </c>
    </row>
    <row r="5" spans="1:17" ht="15" thickBot="1" x14ac:dyDescent="0.4">
      <c r="A5" s="167"/>
      <c r="B5" s="165"/>
      <c r="C5" s="165"/>
      <c r="D5" s="165"/>
      <c r="E5" s="165"/>
      <c r="F5" s="165"/>
      <c r="G5" s="165"/>
      <c r="H5" s="165"/>
      <c r="I5" s="171"/>
      <c r="J5" s="165"/>
      <c r="K5" s="173"/>
      <c r="L5" s="165"/>
      <c r="M5" s="165"/>
      <c r="N5" s="171"/>
      <c r="O5" s="173"/>
      <c r="P5" s="165"/>
      <c r="Q5" s="169"/>
    </row>
    <row r="6" spans="1:17" x14ac:dyDescent="0.35">
      <c r="A6" s="198" t="s">
        <v>555</v>
      </c>
      <c r="B6" s="199"/>
      <c r="C6" s="199"/>
      <c r="D6" s="199"/>
      <c r="E6" s="199"/>
      <c r="F6" s="199"/>
      <c r="G6" s="199"/>
      <c r="H6" s="199"/>
      <c r="I6" s="199"/>
      <c r="J6" s="199"/>
      <c r="K6" s="199"/>
      <c r="L6" s="199"/>
      <c r="M6" s="199"/>
      <c r="N6" s="199"/>
      <c r="O6" s="199"/>
      <c r="P6" s="199"/>
      <c r="Q6" s="200"/>
    </row>
    <row r="7" spans="1:17" x14ac:dyDescent="0.35">
      <c r="A7" s="149">
        <v>3</v>
      </c>
      <c r="B7" s="150" t="s">
        <v>369</v>
      </c>
      <c r="C7" s="151">
        <v>20</v>
      </c>
      <c r="D7" s="151" t="s">
        <v>10</v>
      </c>
      <c r="E7" s="152">
        <v>46070</v>
      </c>
      <c r="F7" s="151" t="s">
        <v>107</v>
      </c>
      <c r="G7" s="153">
        <v>1.4414</v>
      </c>
      <c r="H7" s="153">
        <v>1.4646999999999999</v>
      </c>
      <c r="I7" s="153">
        <v>1.4461999999999999</v>
      </c>
      <c r="J7" s="153">
        <f>SUM(H7-G7)</f>
        <v>2.3299999999999876E-2</v>
      </c>
      <c r="K7" s="153">
        <f>AVERAGE(J7:J11)</f>
        <v>2.9439999999999956E-2</v>
      </c>
      <c r="L7" s="153">
        <f>SUM(J8)</f>
        <v>3.6499999999999977E-2</v>
      </c>
      <c r="M7" s="153">
        <f>SUM(J7)</f>
        <v>2.3299999999999876E-2</v>
      </c>
      <c r="N7" s="153">
        <f>SUM(I7-G7)</f>
        <v>4.7999999999999154E-3</v>
      </c>
      <c r="O7" s="153">
        <f>AVERAGE(N7:N11)</f>
        <v>4.760000000000009E-3</v>
      </c>
      <c r="P7" s="153">
        <f>SUM(N8)</f>
        <v>7.8000000000000291E-3</v>
      </c>
      <c r="Q7" s="154">
        <f>SUM(N11)</f>
        <v>2.7999999999999137E-3</v>
      </c>
    </row>
    <row r="8" spans="1:17" x14ac:dyDescent="0.35">
      <c r="A8" s="79">
        <v>3</v>
      </c>
      <c r="B8" s="88" t="s">
        <v>369</v>
      </c>
      <c r="C8" s="71">
        <v>20</v>
      </c>
      <c r="D8" s="71" t="s">
        <v>10</v>
      </c>
      <c r="E8" s="72">
        <v>46070</v>
      </c>
      <c r="F8" s="71" t="s">
        <v>108</v>
      </c>
      <c r="G8" s="73">
        <v>1.4429000000000001</v>
      </c>
      <c r="H8" s="73">
        <v>1.4794</v>
      </c>
      <c r="I8" s="73">
        <v>1.4507000000000001</v>
      </c>
      <c r="J8" s="73">
        <f t="shared" ref="J8:J16" si="0">SUM(H8-G8)</f>
        <v>3.6499999999999977E-2</v>
      </c>
      <c r="K8" s="73"/>
      <c r="L8" s="73"/>
      <c r="M8" s="73"/>
      <c r="N8" s="73">
        <f>SUM(I8-G8)</f>
        <v>7.8000000000000291E-3</v>
      </c>
      <c r="O8" s="71"/>
      <c r="P8" s="71"/>
      <c r="Q8" s="81"/>
    </row>
    <row r="9" spans="1:17" x14ac:dyDescent="0.35">
      <c r="A9" s="79">
        <v>3</v>
      </c>
      <c r="B9" s="88" t="s">
        <v>369</v>
      </c>
      <c r="C9" s="71">
        <v>20</v>
      </c>
      <c r="D9" s="71" t="s">
        <v>10</v>
      </c>
      <c r="E9" s="72">
        <v>46070</v>
      </c>
      <c r="F9" s="71" t="s">
        <v>109</v>
      </c>
      <c r="G9" s="73">
        <v>1.444</v>
      </c>
      <c r="H9" s="73">
        <v>1.4742</v>
      </c>
      <c r="I9" s="73">
        <v>1.4469000000000001</v>
      </c>
      <c r="J9" s="73">
        <f t="shared" si="0"/>
        <v>3.0200000000000005E-2</v>
      </c>
      <c r="K9" s="73"/>
      <c r="L9" s="73"/>
      <c r="M9" s="73"/>
      <c r="N9" s="73">
        <f>SUM(I9-G9)</f>
        <v>2.9000000000001247E-3</v>
      </c>
      <c r="O9" s="71"/>
      <c r="P9" s="71"/>
      <c r="Q9" s="81"/>
    </row>
    <row r="10" spans="1:17" x14ac:dyDescent="0.35">
      <c r="A10" s="79">
        <v>3</v>
      </c>
      <c r="B10" s="88" t="s">
        <v>369</v>
      </c>
      <c r="C10" s="71">
        <v>20</v>
      </c>
      <c r="D10" s="71" t="s">
        <v>10</v>
      </c>
      <c r="E10" s="72">
        <v>46070</v>
      </c>
      <c r="F10" s="71" t="s">
        <v>110</v>
      </c>
      <c r="G10" s="73">
        <v>1.4417</v>
      </c>
      <c r="H10" s="73">
        <v>1.4691000000000001</v>
      </c>
      <c r="I10" s="73">
        <v>1.4472</v>
      </c>
      <c r="J10" s="73">
        <f t="shared" si="0"/>
        <v>2.7400000000000091E-2</v>
      </c>
      <c r="K10" s="73"/>
      <c r="L10" s="73"/>
      <c r="M10" s="73"/>
      <c r="N10" s="73">
        <f>SUM(I10-G10)</f>
        <v>5.5000000000000604E-3</v>
      </c>
      <c r="O10" s="71"/>
      <c r="P10" s="71"/>
      <c r="Q10" s="81"/>
    </row>
    <row r="11" spans="1:17" x14ac:dyDescent="0.35">
      <c r="A11" s="79">
        <v>3</v>
      </c>
      <c r="B11" s="88" t="s">
        <v>369</v>
      </c>
      <c r="C11" s="71">
        <v>20</v>
      </c>
      <c r="D11" s="71" t="s">
        <v>10</v>
      </c>
      <c r="E11" s="72">
        <v>46070</v>
      </c>
      <c r="F11" s="71" t="s">
        <v>111</v>
      </c>
      <c r="G11" s="73">
        <v>1.4428000000000001</v>
      </c>
      <c r="H11" s="73">
        <v>1.4725999999999999</v>
      </c>
      <c r="I11" s="73">
        <v>1.4456</v>
      </c>
      <c r="J11" s="73">
        <f t="shared" si="0"/>
        <v>2.9799999999999827E-2</v>
      </c>
      <c r="K11" s="73"/>
      <c r="L11" s="73"/>
      <c r="M11" s="73"/>
      <c r="N11" s="73">
        <f>SUM(I11-G11)</f>
        <v>2.7999999999999137E-3</v>
      </c>
      <c r="O11" s="71"/>
      <c r="P11" s="71"/>
      <c r="Q11" s="81"/>
    </row>
    <row r="12" spans="1:17" x14ac:dyDescent="0.35">
      <c r="A12" s="10">
        <v>3</v>
      </c>
      <c r="B12" s="88" t="s">
        <v>369</v>
      </c>
      <c r="C12" s="74">
        <v>20</v>
      </c>
      <c r="D12" s="74" t="s">
        <v>11</v>
      </c>
      <c r="E12" s="75">
        <v>46070</v>
      </c>
      <c r="F12" s="74" t="s">
        <v>112</v>
      </c>
      <c r="G12" s="21">
        <v>1.4419999999999999</v>
      </c>
      <c r="H12" s="21">
        <v>1.4692000000000001</v>
      </c>
      <c r="I12" s="21"/>
      <c r="J12" s="76">
        <f t="shared" si="0"/>
        <v>2.7200000000000113E-2</v>
      </c>
      <c r="K12" s="21">
        <f>AVERAGE(J12:J16)</f>
        <v>3.2320000000000036E-2</v>
      </c>
      <c r="L12" s="21">
        <f>SUM(J16)</f>
        <v>4.0999999999999925E-2</v>
      </c>
      <c r="M12" s="21">
        <f>SUM(J12)</f>
        <v>2.7200000000000113E-2</v>
      </c>
      <c r="N12" s="74"/>
      <c r="O12" s="74"/>
      <c r="P12" s="74"/>
      <c r="Q12" s="82"/>
    </row>
    <row r="13" spans="1:17" x14ac:dyDescent="0.35">
      <c r="A13" s="10">
        <v>3</v>
      </c>
      <c r="B13" s="88" t="s">
        <v>369</v>
      </c>
      <c r="C13" s="74">
        <v>20</v>
      </c>
      <c r="D13" s="74" t="s">
        <v>11</v>
      </c>
      <c r="E13" s="75">
        <v>46070</v>
      </c>
      <c r="F13" s="74" t="s">
        <v>113</v>
      </c>
      <c r="G13" s="21">
        <v>1.4430000000000001</v>
      </c>
      <c r="H13" s="21">
        <v>1.4751000000000001</v>
      </c>
      <c r="I13" s="21"/>
      <c r="J13" s="76">
        <f t="shared" si="0"/>
        <v>3.2100000000000017E-2</v>
      </c>
      <c r="K13" s="21"/>
      <c r="L13" s="21"/>
      <c r="M13" s="21"/>
      <c r="N13" s="74"/>
      <c r="O13" s="74"/>
      <c r="P13" s="74"/>
      <c r="Q13" s="82"/>
    </row>
    <row r="14" spans="1:17" x14ac:dyDescent="0.35">
      <c r="A14" s="10">
        <v>3</v>
      </c>
      <c r="B14" s="88" t="s">
        <v>369</v>
      </c>
      <c r="C14" s="74">
        <v>20</v>
      </c>
      <c r="D14" s="74" t="s">
        <v>11</v>
      </c>
      <c r="E14" s="75">
        <v>46070</v>
      </c>
      <c r="F14" s="74" t="s">
        <v>114</v>
      </c>
      <c r="G14" s="21">
        <v>1.4459</v>
      </c>
      <c r="H14" s="21">
        <v>1.4751000000000001</v>
      </c>
      <c r="I14" s="21"/>
      <c r="J14" s="76">
        <f t="shared" si="0"/>
        <v>2.9200000000000115E-2</v>
      </c>
      <c r="K14" s="21"/>
      <c r="L14" s="21"/>
      <c r="M14" s="21"/>
      <c r="N14" s="74"/>
      <c r="O14" s="74"/>
      <c r="P14" s="74"/>
      <c r="Q14" s="82"/>
    </row>
    <row r="15" spans="1:17" x14ac:dyDescent="0.35">
      <c r="A15" s="10">
        <v>3</v>
      </c>
      <c r="B15" s="88" t="s">
        <v>369</v>
      </c>
      <c r="C15" s="74">
        <v>20</v>
      </c>
      <c r="D15" s="74" t="s">
        <v>11</v>
      </c>
      <c r="E15" s="75">
        <v>46070</v>
      </c>
      <c r="F15" s="74" t="s">
        <v>115</v>
      </c>
      <c r="G15" s="21">
        <v>1.4458</v>
      </c>
      <c r="H15" s="21">
        <v>1.4779</v>
      </c>
      <c r="I15" s="21"/>
      <c r="J15" s="76">
        <f t="shared" si="0"/>
        <v>3.2100000000000017E-2</v>
      </c>
      <c r="K15" s="21"/>
      <c r="L15" s="21"/>
      <c r="M15" s="21"/>
      <c r="N15" s="74"/>
      <c r="O15" s="74"/>
      <c r="P15" s="74"/>
      <c r="Q15" s="82"/>
    </row>
    <row r="16" spans="1:17" x14ac:dyDescent="0.35">
      <c r="A16" s="10">
        <v>3</v>
      </c>
      <c r="B16" s="88" t="s">
        <v>369</v>
      </c>
      <c r="C16" s="74">
        <v>20</v>
      </c>
      <c r="D16" s="74" t="s">
        <v>11</v>
      </c>
      <c r="E16" s="75">
        <v>46070</v>
      </c>
      <c r="F16" s="74" t="s">
        <v>116</v>
      </c>
      <c r="G16" s="21">
        <v>1.4437</v>
      </c>
      <c r="H16" s="21">
        <v>1.4846999999999999</v>
      </c>
      <c r="I16" s="21"/>
      <c r="J16" s="76">
        <f t="shared" si="0"/>
        <v>4.0999999999999925E-2</v>
      </c>
      <c r="K16" s="21"/>
      <c r="L16" s="21"/>
      <c r="M16" s="21"/>
      <c r="N16" s="74"/>
      <c r="O16" s="74"/>
      <c r="P16" s="74"/>
      <c r="Q16" s="82"/>
    </row>
    <row r="17" spans="1:17" x14ac:dyDescent="0.35">
      <c r="A17" s="79">
        <v>6</v>
      </c>
      <c r="B17" s="88" t="s">
        <v>369</v>
      </c>
      <c r="C17" s="71">
        <v>20</v>
      </c>
      <c r="D17" s="71" t="s">
        <v>10</v>
      </c>
      <c r="E17" s="72">
        <v>46090</v>
      </c>
      <c r="F17" s="71" t="s">
        <v>139</v>
      </c>
      <c r="G17" s="73">
        <v>1.4474</v>
      </c>
      <c r="H17" s="73">
        <v>1.4872000000000001</v>
      </c>
      <c r="I17" s="73">
        <v>1.4516</v>
      </c>
      <c r="J17" s="73">
        <f>H17-G17</f>
        <v>3.9800000000000058E-2</v>
      </c>
      <c r="K17" s="73">
        <f>AVERAGE(J17:J21)</f>
        <v>3.9160000000000042E-2</v>
      </c>
      <c r="L17" s="73">
        <f>SUM(J18)</f>
        <v>4.0799999999999947E-2</v>
      </c>
      <c r="M17" s="73">
        <f>SUM(J20)</f>
        <v>3.6500000000000199E-2</v>
      </c>
      <c r="N17" s="73">
        <f>SUM(I17-G17)</f>
        <v>4.1999999999999815E-3</v>
      </c>
      <c r="O17" s="73">
        <f>AVERAGE(N17:N21)</f>
        <v>6.0000000000000053E-3</v>
      </c>
      <c r="P17" s="73">
        <v>7.3000000000000001E-3</v>
      </c>
      <c r="Q17" s="80">
        <v>4.1999999999999997E-3</v>
      </c>
    </row>
    <row r="18" spans="1:17" x14ac:dyDescent="0.35">
      <c r="A18" s="79">
        <v>6</v>
      </c>
      <c r="B18" s="88" t="s">
        <v>369</v>
      </c>
      <c r="C18" s="71">
        <v>20</v>
      </c>
      <c r="D18" s="71" t="s">
        <v>10</v>
      </c>
      <c r="E18" s="72">
        <v>46090</v>
      </c>
      <c r="F18" s="71" t="s">
        <v>141</v>
      </c>
      <c r="G18" s="73">
        <v>1.4428000000000001</v>
      </c>
      <c r="H18" s="73">
        <v>1.4836</v>
      </c>
      <c r="I18" s="73">
        <v>1.4500999999999999</v>
      </c>
      <c r="J18" s="73">
        <f t="shared" ref="J18:J26" si="1">H18-G18</f>
        <v>4.0799999999999947E-2</v>
      </c>
      <c r="K18" s="73"/>
      <c r="L18" s="73"/>
      <c r="M18" s="73"/>
      <c r="N18" s="73">
        <f>SUM(I18-G18)</f>
        <v>7.2999999999998622E-3</v>
      </c>
      <c r="O18" s="71"/>
      <c r="P18" s="71"/>
      <c r="Q18" s="81"/>
    </row>
    <row r="19" spans="1:17" x14ac:dyDescent="0.35">
      <c r="A19" s="79">
        <v>6</v>
      </c>
      <c r="B19" s="88" t="s">
        <v>369</v>
      </c>
      <c r="C19" s="71">
        <v>20</v>
      </c>
      <c r="D19" s="71" t="s">
        <v>10</v>
      </c>
      <c r="E19" s="72">
        <v>46090</v>
      </c>
      <c r="F19" s="71" t="s">
        <v>142</v>
      </c>
      <c r="G19" s="73">
        <v>1.4435</v>
      </c>
      <c r="H19" s="73">
        <v>1.4822</v>
      </c>
      <c r="I19" s="73">
        <v>1.4499</v>
      </c>
      <c r="J19" s="73">
        <f t="shared" si="1"/>
        <v>3.8699999999999957E-2</v>
      </c>
      <c r="K19" s="73"/>
      <c r="L19" s="73"/>
      <c r="M19" s="73"/>
      <c r="N19" s="73">
        <f>SUM(I19-G19)</f>
        <v>6.3999999999999613E-3</v>
      </c>
      <c r="O19" s="71"/>
      <c r="P19" s="71"/>
      <c r="Q19" s="81"/>
    </row>
    <row r="20" spans="1:17" x14ac:dyDescent="0.35">
      <c r="A20" s="79">
        <v>6</v>
      </c>
      <c r="B20" s="88" t="s">
        <v>369</v>
      </c>
      <c r="C20" s="71">
        <v>20</v>
      </c>
      <c r="D20" s="71" t="s">
        <v>10</v>
      </c>
      <c r="E20" s="72">
        <v>46090</v>
      </c>
      <c r="F20" s="71" t="s">
        <v>143</v>
      </c>
      <c r="G20" s="73">
        <v>1.4444999999999999</v>
      </c>
      <c r="H20" s="73">
        <v>1.4810000000000001</v>
      </c>
      <c r="I20" s="73">
        <v>1.4511000000000001</v>
      </c>
      <c r="J20" s="73">
        <f t="shared" si="1"/>
        <v>3.6500000000000199E-2</v>
      </c>
      <c r="K20" s="73"/>
      <c r="L20" s="73"/>
      <c r="M20" s="73"/>
      <c r="N20" s="73">
        <f>SUM(I20-G20)</f>
        <v>6.6000000000001613E-3</v>
      </c>
      <c r="O20" s="71"/>
      <c r="P20" s="71"/>
      <c r="Q20" s="81"/>
    </row>
    <row r="21" spans="1:17" x14ac:dyDescent="0.35">
      <c r="A21" s="79">
        <v>6</v>
      </c>
      <c r="B21" s="88" t="s">
        <v>369</v>
      </c>
      <c r="C21" s="71">
        <v>20</v>
      </c>
      <c r="D21" s="71" t="s">
        <v>10</v>
      </c>
      <c r="E21" s="72">
        <v>46090</v>
      </c>
      <c r="F21" s="71" t="s">
        <v>144</v>
      </c>
      <c r="G21" s="73">
        <v>1.444</v>
      </c>
      <c r="H21" s="73">
        <v>1.484</v>
      </c>
      <c r="I21" s="73">
        <v>1.4495</v>
      </c>
      <c r="J21" s="73">
        <f t="shared" si="1"/>
        <v>4.0000000000000036E-2</v>
      </c>
      <c r="K21" s="73"/>
      <c r="L21" s="73"/>
      <c r="M21" s="73"/>
      <c r="N21" s="73">
        <f>SUM(I21-G21)</f>
        <v>5.5000000000000604E-3</v>
      </c>
      <c r="O21" s="71"/>
      <c r="P21" s="71"/>
      <c r="Q21" s="81"/>
    </row>
    <row r="22" spans="1:17" x14ac:dyDescent="0.35">
      <c r="A22" s="79">
        <v>6</v>
      </c>
      <c r="B22" s="88" t="s">
        <v>369</v>
      </c>
      <c r="C22" s="77">
        <v>20</v>
      </c>
      <c r="D22" s="77" t="s">
        <v>11</v>
      </c>
      <c r="E22" s="78">
        <v>46090</v>
      </c>
      <c r="F22" s="77" t="s">
        <v>140</v>
      </c>
      <c r="G22" s="76">
        <v>1.4449000000000001</v>
      </c>
      <c r="H22" s="76">
        <v>1.4863</v>
      </c>
      <c r="I22" s="77"/>
      <c r="J22" s="76">
        <f t="shared" si="1"/>
        <v>4.1399999999999881E-2</v>
      </c>
      <c r="K22" s="76">
        <f>AVERAGE(J22:J26)</f>
        <v>3.6939999999999931E-2</v>
      </c>
      <c r="L22" s="21">
        <f>SUM(J22)</f>
        <v>4.1399999999999881E-2</v>
      </c>
      <c r="M22" s="21">
        <f>SUM(J26)</f>
        <v>2.8999999999999915E-2</v>
      </c>
      <c r="N22" s="74"/>
      <c r="O22" s="74"/>
      <c r="P22" s="74"/>
      <c r="Q22" s="82"/>
    </row>
    <row r="23" spans="1:17" x14ac:dyDescent="0.35">
      <c r="A23" s="79">
        <v>6</v>
      </c>
      <c r="B23" s="88" t="s">
        <v>369</v>
      </c>
      <c r="C23" s="77">
        <v>20</v>
      </c>
      <c r="D23" s="77" t="s">
        <v>11</v>
      </c>
      <c r="E23" s="78">
        <v>46090</v>
      </c>
      <c r="F23" s="77" t="s">
        <v>145</v>
      </c>
      <c r="G23" s="76">
        <v>1.4469000000000001</v>
      </c>
      <c r="H23" s="76">
        <v>1.4843</v>
      </c>
      <c r="I23" s="77"/>
      <c r="J23" s="76">
        <f t="shared" si="1"/>
        <v>3.7399999999999878E-2</v>
      </c>
      <c r="K23" s="77"/>
      <c r="L23" s="21"/>
      <c r="M23" s="21"/>
      <c r="N23" s="74"/>
      <c r="O23" s="74"/>
      <c r="P23" s="74"/>
      <c r="Q23" s="82"/>
    </row>
    <row r="24" spans="1:17" x14ac:dyDescent="0.35">
      <c r="A24" s="79">
        <v>6</v>
      </c>
      <c r="B24" s="88" t="s">
        <v>369</v>
      </c>
      <c r="C24" s="77">
        <v>20</v>
      </c>
      <c r="D24" s="77" t="s">
        <v>11</v>
      </c>
      <c r="E24" s="78">
        <v>46090</v>
      </c>
      <c r="F24" s="77" t="s">
        <v>146</v>
      </c>
      <c r="G24" s="76">
        <v>1.4467000000000001</v>
      </c>
      <c r="H24" s="76">
        <v>1.486</v>
      </c>
      <c r="I24" s="77"/>
      <c r="J24" s="76">
        <f t="shared" si="1"/>
        <v>3.9299999999999891E-2</v>
      </c>
      <c r="K24" s="77"/>
      <c r="L24" s="21"/>
      <c r="M24" s="21"/>
      <c r="N24" s="74"/>
      <c r="O24" s="74"/>
      <c r="P24" s="74"/>
      <c r="Q24" s="82"/>
    </row>
    <row r="25" spans="1:17" x14ac:dyDescent="0.35">
      <c r="A25" s="79">
        <v>6</v>
      </c>
      <c r="B25" s="88" t="s">
        <v>369</v>
      </c>
      <c r="C25" s="77">
        <v>20</v>
      </c>
      <c r="D25" s="77" t="s">
        <v>11</v>
      </c>
      <c r="E25" s="78">
        <v>46090</v>
      </c>
      <c r="F25" s="77" t="s">
        <v>147</v>
      </c>
      <c r="G25" s="76">
        <v>1.4461999999999999</v>
      </c>
      <c r="H25" s="76">
        <v>1.4838</v>
      </c>
      <c r="I25" s="77"/>
      <c r="J25" s="76">
        <f t="shared" si="1"/>
        <v>3.7600000000000078E-2</v>
      </c>
      <c r="K25" s="77"/>
      <c r="L25" s="21"/>
      <c r="M25" s="21"/>
      <c r="N25" s="74"/>
      <c r="O25" s="74"/>
      <c r="P25" s="74"/>
      <c r="Q25" s="82"/>
    </row>
    <row r="26" spans="1:17" x14ac:dyDescent="0.35">
      <c r="A26" s="79">
        <v>6</v>
      </c>
      <c r="B26" s="88" t="s">
        <v>369</v>
      </c>
      <c r="C26" s="77">
        <v>20</v>
      </c>
      <c r="D26" s="77" t="s">
        <v>11</v>
      </c>
      <c r="E26" s="78">
        <v>46090</v>
      </c>
      <c r="F26" s="77" t="s">
        <v>148</v>
      </c>
      <c r="G26" s="76">
        <v>1.4453</v>
      </c>
      <c r="H26" s="76">
        <v>1.4742999999999999</v>
      </c>
      <c r="I26" s="77"/>
      <c r="J26" s="76">
        <f t="shared" si="1"/>
        <v>2.8999999999999915E-2</v>
      </c>
      <c r="K26" s="77"/>
      <c r="L26" s="21"/>
      <c r="M26" s="21"/>
      <c r="N26" s="74"/>
      <c r="O26" s="74"/>
      <c r="P26" s="74"/>
      <c r="Q26" s="82"/>
    </row>
    <row r="27" spans="1:17" x14ac:dyDescent="0.35">
      <c r="A27" s="79">
        <v>9</v>
      </c>
      <c r="B27" s="88" t="s">
        <v>369</v>
      </c>
      <c r="C27" s="71">
        <v>20</v>
      </c>
      <c r="D27" s="71" t="s">
        <v>10</v>
      </c>
      <c r="E27" s="72">
        <v>46111</v>
      </c>
      <c r="F27" s="71" t="s">
        <v>169</v>
      </c>
      <c r="G27" s="73">
        <v>1.4436</v>
      </c>
      <c r="H27" s="73">
        <v>1.4863</v>
      </c>
      <c r="I27" s="73">
        <v>1.4481999999999999</v>
      </c>
      <c r="J27" s="73">
        <f>H27-G27</f>
        <v>4.269999999999996E-2</v>
      </c>
      <c r="K27" s="73">
        <f>AVERAGE(J27:J31)</f>
        <v>4.7980000000000043E-2</v>
      </c>
      <c r="L27" s="73">
        <f>SUM(J29)</f>
        <v>7.7300000000000146E-2</v>
      </c>
      <c r="M27" s="73">
        <f>SUM(J30)</f>
        <v>3.0899999999999928E-2</v>
      </c>
      <c r="N27" s="73">
        <f>SUM(I27-G27)</f>
        <v>4.5999999999999375E-3</v>
      </c>
      <c r="O27" s="73">
        <f>AVERAGE(N27:N31)</f>
        <v>5.6000000000000051E-3</v>
      </c>
      <c r="P27" s="73">
        <v>6.3E-3</v>
      </c>
      <c r="Q27" s="80">
        <v>4.5999999999999999E-3</v>
      </c>
    </row>
    <row r="28" spans="1:17" x14ac:dyDescent="0.35">
      <c r="A28" s="79">
        <v>9</v>
      </c>
      <c r="B28" s="88" t="s">
        <v>369</v>
      </c>
      <c r="C28" s="71">
        <v>20</v>
      </c>
      <c r="D28" s="71" t="s">
        <v>10</v>
      </c>
      <c r="E28" s="72">
        <v>46111</v>
      </c>
      <c r="F28" s="71" t="s">
        <v>170</v>
      </c>
      <c r="G28" s="73">
        <v>1.4410000000000001</v>
      </c>
      <c r="H28" s="73">
        <v>1.4772000000000001</v>
      </c>
      <c r="I28" s="73">
        <v>1.4470000000000001</v>
      </c>
      <c r="J28" s="73">
        <f t="shared" ref="J28:J36" si="2">H28-G28</f>
        <v>3.620000000000001E-2</v>
      </c>
      <c r="K28" s="73"/>
      <c r="L28" s="73"/>
      <c r="M28" s="73"/>
      <c r="N28" s="73">
        <f>SUM(I28-G28)</f>
        <v>6.0000000000000053E-3</v>
      </c>
      <c r="O28" s="71"/>
      <c r="P28" s="71"/>
      <c r="Q28" s="81"/>
    </row>
    <row r="29" spans="1:17" x14ac:dyDescent="0.35">
      <c r="A29" s="79">
        <v>9</v>
      </c>
      <c r="B29" s="88" t="s">
        <v>369</v>
      </c>
      <c r="C29" s="71">
        <v>20</v>
      </c>
      <c r="D29" s="71" t="s">
        <v>10</v>
      </c>
      <c r="E29" s="72">
        <v>46111</v>
      </c>
      <c r="F29" s="71" t="s">
        <v>171</v>
      </c>
      <c r="G29" s="73">
        <v>1.444</v>
      </c>
      <c r="H29" s="73">
        <v>1.5213000000000001</v>
      </c>
      <c r="I29" s="73">
        <v>1.4491000000000001</v>
      </c>
      <c r="J29" s="73">
        <f t="shared" si="2"/>
        <v>7.7300000000000146E-2</v>
      </c>
      <c r="K29" s="73"/>
      <c r="L29" s="73"/>
      <c r="M29" s="73"/>
      <c r="N29" s="73">
        <f>SUM(I29-G29)</f>
        <v>5.1000000000001044E-3</v>
      </c>
      <c r="O29" s="71"/>
      <c r="P29" s="71"/>
      <c r="Q29" s="81"/>
    </row>
    <row r="30" spans="1:17" x14ac:dyDescent="0.35">
      <c r="A30" s="79">
        <v>9</v>
      </c>
      <c r="B30" s="88" t="s">
        <v>369</v>
      </c>
      <c r="C30" s="71">
        <v>20</v>
      </c>
      <c r="D30" s="71" t="s">
        <v>10</v>
      </c>
      <c r="E30" s="72">
        <v>46111</v>
      </c>
      <c r="F30" s="71" t="s">
        <v>172</v>
      </c>
      <c r="G30" s="73">
        <v>1.4415</v>
      </c>
      <c r="H30" s="73">
        <v>1.4723999999999999</v>
      </c>
      <c r="I30" s="73">
        <v>1.4478</v>
      </c>
      <c r="J30" s="73">
        <f t="shared" si="2"/>
        <v>3.0899999999999928E-2</v>
      </c>
      <c r="K30" s="73"/>
      <c r="L30" s="73"/>
      <c r="M30" s="73"/>
      <c r="N30" s="73">
        <f>SUM(I30-G30)</f>
        <v>6.2999999999999723E-3</v>
      </c>
      <c r="O30" s="71"/>
      <c r="P30" s="71"/>
      <c r="Q30" s="81"/>
    </row>
    <row r="31" spans="1:17" x14ac:dyDescent="0.35">
      <c r="A31" s="79">
        <v>9</v>
      </c>
      <c r="B31" s="88" t="s">
        <v>369</v>
      </c>
      <c r="C31" s="71">
        <v>20</v>
      </c>
      <c r="D31" s="71" t="s">
        <v>10</v>
      </c>
      <c r="E31" s="72">
        <v>46111</v>
      </c>
      <c r="F31" s="71" t="s">
        <v>173</v>
      </c>
      <c r="G31" s="73">
        <v>1.4424999999999999</v>
      </c>
      <c r="H31" s="73">
        <v>1.4953000000000001</v>
      </c>
      <c r="I31" s="73">
        <v>1.4484999999999999</v>
      </c>
      <c r="J31" s="73">
        <f t="shared" si="2"/>
        <v>5.280000000000018E-2</v>
      </c>
      <c r="K31" s="73"/>
      <c r="L31" s="73"/>
      <c r="M31" s="73"/>
      <c r="N31" s="73">
        <f>SUM(I31-G31)</f>
        <v>6.0000000000000053E-3</v>
      </c>
      <c r="O31" s="71"/>
      <c r="P31" s="71"/>
      <c r="Q31" s="81"/>
    </row>
    <row r="32" spans="1:17" x14ac:dyDescent="0.35">
      <c r="A32" s="83">
        <v>9</v>
      </c>
      <c r="B32" s="88" t="s">
        <v>369</v>
      </c>
      <c r="C32" s="74">
        <v>20</v>
      </c>
      <c r="D32" s="74" t="s">
        <v>11</v>
      </c>
      <c r="E32" s="75">
        <v>46111</v>
      </c>
      <c r="F32" s="74" t="s">
        <v>174</v>
      </c>
      <c r="G32" s="21">
        <v>1.4490000000000001</v>
      </c>
      <c r="H32" s="21">
        <v>1.4992000000000001</v>
      </c>
      <c r="I32" s="74"/>
      <c r="J32" s="21">
        <f t="shared" si="2"/>
        <v>5.0200000000000022E-2</v>
      </c>
      <c r="K32" s="21">
        <f>AVERAGE(J32:J36)</f>
        <v>4.4700000000000004E-2</v>
      </c>
      <c r="L32" s="21">
        <f>SUM(J36)</f>
        <v>5.9499999999999886E-2</v>
      </c>
      <c r="M32" s="21">
        <f>SUM(J35)</f>
        <v>3.6000000000000032E-2</v>
      </c>
      <c r="N32" s="74"/>
      <c r="O32" s="74"/>
      <c r="P32" s="74"/>
      <c r="Q32" s="82"/>
    </row>
    <row r="33" spans="1:17" x14ac:dyDescent="0.35">
      <c r="A33" s="83">
        <v>9</v>
      </c>
      <c r="B33" s="88" t="s">
        <v>369</v>
      </c>
      <c r="C33" s="74">
        <v>20</v>
      </c>
      <c r="D33" s="74" t="s">
        <v>11</v>
      </c>
      <c r="E33" s="75">
        <v>46111</v>
      </c>
      <c r="F33" s="74" t="s">
        <v>175</v>
      </c>
      <c r="G33" s="21">
        <v>1.4432</v>
      </c>
      <c r="H33" s="21">
        <v>1.4816</v>
      </c>
      <c r="I33" s="74"/>
      <c r="J33" s="21">
        <f t="shared" si="2"/>
        <v>3.839999999999999E-2</v>
      </c>
      <c r="K33" s="74"/>
      <c r="L33" s="21"/>
      <c r="M33" s="21"/>
      <c r="N33" s="74"/>
      <c r="O33" s="74"/>
      <c r="P33" s="74"/>
      <c r="Q33" s="82"/>
    </row>
    <row r="34" spans="1:17" x14ac:dyDescent="0.35">
      <c r="A34" s="83">
        <v>9</v>
      </c>
      <c r="B34" s="88" t="s">
        <v>369</v>
      </c>
      <c r="C34" s="74">
        <v>20</v>
      </c>
      <c r="D34" s="74" t="s">
        <v>11</v>
      </c>
      <c r="E34" s="75">
        <v>46111</v>
      </c>
      <c r="F34" s="74" t="s">
        <v>176</v>
      </c>
      <c r="G34" s="21">
        <v>1.4419</v>
      </c>
      <c r="H34" s="21">
        <v>1.4813000000000001</v>
      </c>
      <c r="I34" s="74"/>
      <c r="J34" s="21">
        <f t="shared" si="2"/>
        <v>3.9400000000000102E-2</v>
      </c>
      <c r="K34" s="74"/>
      <c r="L34" s="21"/>
      <c r="M34" s="21"/>
      <c r="N34" s="74"/>
      <c r="O34" s="74"/>
      <c r="P34" s="74"/>
      <c r="Q34" s="82"/>
    </row>
    <row r="35" spans="1:17" x14ac:dyDescent="0.35">
      <c r="A35" s="83">
        <v>9</v>
      </c>
      <c r="B35" s="88" t="s">
        <v>369</v>
      </c>
      <c r="C35" s="74">
        <v>20</v>
      </c>
      <c r="D35" s="74" t="s">
        <v>11</v>
      </c>
      <c r="E35" s="75">
        <v>46111</v>
      </c>
      <c r="F35" s="74" t="s">
        <v>177</v>
      </c>
      <c r="G35" s="21">
        <v>1.4394</v>
      </c>
      <c r="H35" s="21">
        <v>1.4754</v>
      </c>
      <c r="I35" s="74"/>
      <c r="J35" s="21">
        <f t="shared" si="2"/>
        <v>3.6000000000000032E-2</v>
      </c>
      <c r="K35" s="74"/>
      <c r="L35" s="21"/>
      <c r="M35" s="21"/>
      <c r="N35" s="74"/>
      <c r="O35" s="74"/>
      <c r="P35" s="74"/>
      <c r="Q35" s="82"/>
    </row>
    <row r="36" spans="1:17" x14ac:dyDescent="0.35">
      <c r="A36" s="83">
        <v>9</v>
      </c>
      <c r="B36" s="88" t="s">
        <v>369</v>
      </c>
      <c r="C36" s="74">
        <v>20</v>
      </c>
      <c r="D36" s="74" t="s">
        <v>11</v>
      </c>
      <c r="E36" s="75">
        <v>46111</v>
      </c>
      <c r="F36" s="74" t="s">
        <v>178</v>
      </c>
      <c r="G36" s="21">
        <v>1.4455</v>
      </c>
      <c r="H36" s="21">
        <v>1.5049999999999999</v>
      </c>
      <c r="I36" s="74"/>
      <c r="J36" s="21">
        <f t="shared" si="2"/>
        <v>5.9499999999999886E-2</v>
      </c>
      <c r="K36" s="74"/>
      <c r="L36" s="21"/>
      <c r="M36" s="21"/>
      <c r="N36" s="74"/>
      <c r="O36" s="74"/>
      <c r="P36" s="74"/>
      <c r="Q36" s="82"/>
    </row>
    <row r="37" spans="1:17" x14ac:dyDescent="0.35">
      <c r="A37" s="79">
        <v>12</v>
      </c>
      <c r="B37" s="88" t="s">
        <v>369</v>
      </c>
      <c r="C37" s="71">
        <v>20</v>
      </c>
      <c r="D37" s="71" t="s">
        <v>10</v>
      </c>
      <c r="E37" s="72">
        <v>46133</v>
      </c>
      <c r="F37" s="71" t="s">
        <v>370</v>
      </c>
      <c r="G37" s="73">
        <v>1.4457</v>
      </c>
      <c r="H37" s="73">
        <v>1.4984999999999999</v>
      </c>
      <c r="I37" s="73">
        <v>1.4541999999999999</v>
      </c>
      <c r="J37" s="73">
        <f>SUM(H37-G37)</f>
        <v>5.2799999999999958E-2</v>
      </c>
      <c r="K37" s="73">
        <f>AVERAGE(J37:J41)</f>
        <v>5.9959999999999972E-2</v>
      </c>
      <c r="L37" s="73">
        <f>SUM(J40)</f>
        <v>6.2999999999999945E-2</v>
      </c>
      <c r="M37" s="73">
        <f>SUM(J37)</f>
        <v>5.2799999999999958E-2</v>
      </c>
      <c r="N37" s="73">
        <f>SUM(I37-G37)</f>
        <v>8.499999999999952E-3</v>
      </c>
      <c r="O37" s="73">
        <f>AVERAGE(N37:N41)</f>
        <v>9.5000000000000188E-3</v>
      </c>
      <c r="P37" s="73">
        <v>1.38E-2</v>
      </c>
      <c r="Q37" s="80">
        <v>7.7999999999999996E-3</v>
      </c>
    </row>
    <row r="38" spans="1:17" x14ac:dyDescent="0.35">
      <c r="A38" s="79">
        <v>12</v>
      </c>
      <c r="B38" s="88" t="s">
        <v>369</v>
      </c>
      <c r="C38" s="71">
        <v>20</v>
      </c>
      <c r="D38" s="71" t="s">
        <v>10</v>
      </c>
      <c r="E38" s="72">
        <v>46133</v>
      </c>
      <c r="F38" s="71" t="s">
        <v>371</v>
      </c>
      <c r="G38" s="73">
        <v>1.4458</v>
      </c>
      <c r="H38" s="73">
        <v>1.5065999999999999</v>
      </c>
      <c r="I38" s="73">
        <v>1.4550000000000001</v>
      </c>
      <c r="J38" s="73">
        <f t="shared" ref="J38:J46" si="3">SUM(H38-G38)</f>
        <v>6.0799999999999965E-2</v>
      </c>
      <c r="K38" s="71"/>
      <c r="L38" s="71"/>
      <c r="M38" s="71"/>
      <c r="N38" s="73">
        <f>SUM(I38-G38)</f>
        <v>9.200000000000097E-3</v>
      </c>
      <c r="O38" s="71"/>
      <c r="P38" s="71"/>
      <c r="Q38" s="81"/>
    </row>
    <row r="39" spans="1:17" x14ac:dyDescent="0.35">
      <c r="A39" s="79">
        <v>12</v>
      </c>
      <c r="B39" s="88" t="s">
        <v>369</v>
      </c>
      <c r="C39" s="71">
        <v>20</v>
      </c>
      <c r="D39" s="71" t="s">
        <v>10</v>
      </c>
      <c r="E39" s="72">
        <v>46133</v>
      </c>
      <c r="F39" s="71" t="s">
        <v>372</v>
      </c>
      <c r="G39" s="73">
        <v>1.4472</v>
      </c>
      <c r="H39" s="73">
        <v>1.5096000000000001</v>
      </c>
      <c r="I39" s="73">
        <v>1.4550000000000001</v>
      </c>
      <c r="J39" s="73">
        <f t="shared" si="3"/>
        <v>6.2400000000000011E-2</v>
      </c>
      <c r="K39" s="71"/>
      <c r="L39" s="71"/>
      <c r="M39" s="71"/>
      <c r="N39" s="73">
        <f>SUM(I39-G39)</f>
        <v>7.8000000000000291E-3</v>
      </c>
      <c r="O39" s="71"/>
      <c r="P39" s="71"/>
      <c r="Q39" s="81"/>
    </row>
    <row r="40" spans="1:17" x14ac:dyDescent="0.35">
      <c r="A40" s="79">
        <v>12</v>
      </c>
      <c r="B40" s="88" t="s">
        <v>369</v>
      </c>
      <c r="C40" s="71">
        <v>20</v>
      </c>
      <c r="D40" s="71" t="s">
        <v>10</v>
      </c>
      <c r="E40" s="72">
        <v>46133</v>
      </c>
      <c r="F40" s="71" t="s">
        <v>373</v>
      </c>
      <c r="G40" s="73">
        <v>1.4431</v>
      </c>
      <c r="H40" s="73">
        <v>1.5061</v>
      </c>
      <c r="I40" s="73">
        <v>1.4569000000000001</v>
      </c>
      <c r="J40" s="73">
        <f t="shared" si="3"/>
        <v>6.2999999999999945E-2</v>
      </c>
      <c r="K40" s="71"/>
      <c r="L40" s="71"/>
      <c r="M40" s="71"/>
      <c r="N40" s="73">
        <f>SUM(I40-G40)</f>
        <v>1.3800000000000034E-2</v>
      </c>
      <c r="O40" s="71"/>
      <c r="P40" s="71"/>
      <c r="Q40" s="81"/>
    </row>
    <row r="41" spans="1:17" x14ac:dyDescent="0.35">
      <c r="A41" s="79">
        <v>12</v>
      </c>
      <c r="B41" s="88" t="s">
        <v>369</v>
      </c>
      <c r="C41" s="71">
        <v>20</v>
      </c>
      <c r="D41" s="71" t="s">
        <v>10</v>
      </c>
      <c r="E41" s="72">
        <v>46133</v>
      </c>
      <c r="F41" s="71" t="s">
        <v>374</v>
      </c>
      <c r="G41" s="73">
        <v>1.4452</v>
      </c>
      <c r="H41" s="73">
        <v>1.506</v>
      </c>
      <c r="I41" s="73">
        <v>1.4534</v>
      </c>
      <c r="J41" s="73">
        <f t="shared" si="3"/>
        <v>6.0799999999999965E-2</v>
      </c>
      <c r="K41" s="71"/>
      <c r="L41" s="71"/>
      <c r="M41" s="71"/>
      <c r="N41" s="73">
        <f>SUM(I41-G41)</f>
        <v>8.1999999999999851E-3</v>
      </c>
      <c r="O41" s="71"/>
      <c r="P41" s="71"/>
      <c r="Q41" s="81"/>
    </row>
    <row r="42" spans="1:17" x14ac:dyDescent="0.35">
      <c r="A42" s="83">
        <v>12</v>
      </c>
      <c r="B42" s="88" t="s">
        <v>369</v>
      </c>
      <c r="C42" s="74">
        <v>20</v>
      </c>
      <c r="D42" s="74" t="s">
        <v>11</v>
      </c>
      <c r="E42" s="75">
        <v>46133</v>
      </c>
      <c r="F42" s="74" t="s">
        <v>375</v>
      </c>
      <c r="G42" s="21">
        <v>1.446</v>
      </c>
      <c r="H42" s="21">
        <v>1.4964</v>
      </c>
      <c r="I42" s="74"/>
      <c r="J42" s="21">
        <f t="shared" si="3"/>
        <v>5.04E-2</v>
      </c>
      <c r="K42" s="21">
        <f>AVERAGE(J42:J46)</f>
        <v>5.2700000000000011E-2</v>
      </c>
      <c r="L42" s="21">
        <f>SUM(J46)</f>
        <v>5.6699999999999973E-2</v>
      </c>
      <c r="M42" s="21">
        <f>SUM(J42)</f>
        <v>5.04E-2</v>
      </c>
      <c r="N42" s="74"/>
      <c r="O42" s="74"/>
      <c r="P42" s="74"/>
      <c r="Q42" s="82"/>
    </row>
    <row r="43" spans="1:17" x14ac:dyDescent="0.35">
      <c r="A43" s="83">
        <v>12</v>
      </c>
      <c r="B43" s="88" t="s">
        <v>369</v>
      </c>
      <c r="C43" s="74">
        <v>20</v>
      </c>
      <c r="D43" s="74" t="s">
        <v>11</v>
      </c>
      <c r="E43" s="75">
        <v>46133</v>
      </c>
      <c r="F43" s="74" t="s">
        <v>376</v>
      </c>
      <c r="G43" s="21">
        <v>1.4426000000000001</v>
      </c>
      <c r="H43" s="21">
        <v>1.4937</v>
      </c>
      <c r="I43" s="74"/>
      <c r="J43" s="21">
        <f t="shared" si="3"/>
        <v>5.1099999999999923E-2</v>
      </c>
      <c r="K43" s="74"/>
      <c r="L43" s="74"/>
      <c r="M43" s="74"/>
      <c r="N43" s="74"/>
      <c r="O43" s="74"/>
      <c r="P43" s="74"/>
      <c r="Q43" s="82"/>
    </row>
    <row r="44" spans="1:17" x14ac:dyDescent="0.35">
      <c r="A44" s="83">
        <v>12</v>
      </c>
      <c r="B44" s="88" t="s">
        <v>369</v>
      </c>
      <c r="C44" s="74">
        <v>20</v>
      </c>
      <c r="D44" s="74" t="s">
        <v>11</v>
      </c>
      <c r="E44" s="75">
        <v>46133</v>
      </c>
      <c r="F44" s="74" t="s">
        <v>377</v>
      </c>
      <c r="G44" s="21">
        <v>1.4464999999999999</v>
      </c>
      <c r="H44" s="21">
        <v>1.4992000000000001</v>
      </c>
      <c r="I44" s="74"/>
      <c r="J44" s="21">
        <f t="shared" si="3"/>
        <v>5.2700000000000191E-2</v>
      </c>
      <c r="K44" s="74"/>
      <c r="L44" s="74"/>
      <c r="M44" s="74"/>
      <c r="N44" s="74"/>
      <c r="O44" s="74"/>
      <c r="P44" s="74"/>
      <c r="Q44" s="82"/>
    </row>
    <row r="45" spans="1:17" x14ac:dyDescent="0.35">
      <c r="A45" s="83">
        <v>12</v>
      </c>
      <c r="B45" s="88" t="s">
        <v>369</v>
      </c>
      <c r="C45" s="74">
        <v>20</v>
      </c>
      <c r="D45" s="74" t="s">
        <v>11</v>
      </c>
      <c r="E45" s="75">
        <v>46133</v>
      </c>
      <c r="F45" s="74" t="s">
        <v>378</v>
      </c>
      <c r="G45" s="21">
        <v>1.4412</v>
      </c>
      <c r="H45" s="21">
        <v>1.4938</v>
      </c>
      <c r="I45" s="74"/>
      <c r="J45" s="21">
        <f t="shared" si="3"/>
        <v>5.259999999999998E-2</v>
      </c>
      <c r="K45" s="74"/>
      <c r="L45" s="74"/>
      <c r="M45" s="74"/>
      <c r="N45" s="74"/>
      <c r="O45" s="74"/>
      <c r="P45" s="74"/>
      <c r="Q45" s="82"/>
    </row>
    <row r="46" spans="1:17" ht="15" thickBot="1" x14ac:dyDescent="0.4">
      <c r="A46" s="87">
        <v>12</v>
      </c>
      <c r="B46" s="100" t="s">
        <v>369</v>
      </c>
      <c r="C46" s="84">
        <v>20</v>
      </c>
      <c r="D46" s="84" t="s">
        <v>11</v>
      </c>
      <c r="E46" s="85">
        <v>46133</v>
      </c>
      <c r="F46" s="84" t="s">
        <v>379</v>
      </c>
      <c r="G46" s="23">
        <v>1.4481999999999999</v>
      </c>
      <c r="H46" s="23">
        <v>1.5048999999999999</v>
      </c>
      <c r="I46" s="84"/>
      <c r="J46" s="23">
        <f t="shared" si="3"/>
        <v>5.6699999999999973E-2</v>
      </c>
      <c r="K46" s="84"/>
      <c r="L46" s="84"/>
      <c r="M46" s="84"/>
      <c r="N46" s="84"/>
      <c r="O46" s="84"/>
      <c r="P46" s="84"/>
      <c r="Q46" s="86"/>
    </row>
    <row r="47" spans="1:17" x14ac:dyDescent="0.35">
      <c r="A47" s="209" t="s">
        <v>554</v>
      </c>
      <c r="B47" s="199"/>
      <c r="C47" s="199"/>
      <c r="D47" s="199"/>
      <c r="E47" s="199"/>
      <c r="F47" s="199"/>
      <c r="G47" s="199"/>
      <c r="H47" s="199"/>
      <c r="I47" s="199"/>
      <c r="J47" s="199"/>
      <c r="K47" s="199"/>
      <c r="L47" s="199"/>
      <c r="M47" s="199"/>
      <c r="N47" s="199"/>
      <c r="O47" s="199"/>
      <c r="P47" s="199"/>
      <c r="Q47" s="210"/>
    </row>
    <row r="48" spans="1:17" x14ac:dyDescent="0.35">
      <c r="A48" s="79">
        <v>3</v>
      </c>
      <c r="B48" s="88" t="s">
        <v>369</v>
      </c>
      <c r="C48" s="71">
        <v>40</v>
      </c>
      <c r="D48" s="71" t="s">
        <v>10</v>
      </c>
      <c r="E48" s="92">
        <v>46070</v>
      </c>
      <c r="F48" s="71" t="s">
        <v>119</v>
      </c>
      <c r="G48" s="73">
        <v>1.4440999999999999</v>
      </c>
      <c r="H48" s="73">
        <v>1.4874000000000001</v>
      </c>
      <c r="I48" s="73">
        <v>1.4562999999999999</v>
      </c>
      <c r="J48" s="94">
        <f>SUM(H48-G48)</f>
        <v>4.3300000000000116E-2</v>
      </c>
      <c r="K48" s="73">
        <f>AVERAGE(J48:J52)</f>
        <v>3.9280000000000023E-2</v>
      </c>
      <c r="L48" s="73">
        <f>SUM(J49)</f>
        <v>4.4499999999999984E-2</v>
      </c>
      <c r="M48" s="73">
        <f>SUM(J48)</f>
        <v>4.3300000000000116E-2</v>
      </c>
      <c r="N48" s="73">
        <f>SUM(I48-G48)</f>
        <v>1.2199999999999989E-2</v>
      </c>
      <c r="O48" s="73">
        <f>AVERAGE(N48:N52)</f>
        <v>8.839999999999959E-3</v>
      </c>
      <c r="P48" s="73">
        <v>1.2200000000000001E-2</v>
      </c>
      <c r="Q48" s="80">
        <v>6.8999999999999999E-3</v>
      </c>
    </row>
    <row r="49" spans="1:17" x14ac:dyDescent="0.35">
      <c r="A49" s="79">
        <v>3</v>
      </c>
      <c r="B49" s="88" t="s">
        <v>369</v>
      </c>
      <c r="C49" s="71">
        <v>40</v>
      </c>
      <c r="D49" s="71" t="s">
        <v>10</v>
      </c>
      <c r="E49" s="92">
        <v>46070</v>
      </c>
      <c r="F49" s="71" t="s">
        <v>120</v>
      </c>
      <c r="G49" s="73">
        <v>1.4447000000000001</v>
      </c>
      <c r="H49" s="73">
        <v>1.4892000000000001</v>
      </c>
      <c r="I49" s="73">
        <v>1.4538</v>
      </c>
      <c r="J49" s="94">
        <f t="shared" ref="J49:J57" si="4">SUM(H49-G49)</f>
        <v>4.4499999999999984E-2</v>
      </c>
      <c r="K49" s="73"/>
      <c r="L49" s="73"/>
      <c r="M49" s="73"/>
      <c r="N49" s="73">
        <f>SUM(I49-G49)</f>
        <v>9.099999999999886E-3</v>
      </c>
      <c r="O49" s="71"/>
      <c r="P49" s="71"/>
      <c r="Q49" s="81"/>
    </row>
    <row r="50" spans="1:17" x14ac:dyDescent="0.35">
      <c r="A50" s="79">
        <v>3</v>
      </c>
      <c r="B50" s="88" t="s">
        <v>369</v>
      </c>
      <c r="C50" s="71">
        <v>40</v>
      </c>
      <c r="D50" s="71" t="s">
        <v>10</v>
      </c>
      <c r="E50" s="92">
        <v>46070</v>
      </c>
      <c r="F50" s="71" t="s">
        <v>121</v>
      </c>
      <c r="G50" s="73">
        <v>1.448</v>
      </c>
      <c r="H50" s="73">
        <v>1.4855</v>
      </c>
      <c r="I50" s="73">
        <v>1.456</v>
      </c>
      <c r="J50" s="94">
        <f t="shared" si="4"/>
        <v>3.7500000000000089E-2</v>
      </c>
      <c r="K50" s="73"/>
      <c r="L50" s="73"/>
      <c r="M50" s="73"/>
      <c r="N50" s="73">
        <f>SUM(I50-G50)</f>
        <v>8.0000000000000071E-3</v>
      </c>
      <c r="O50" s="71"/>
      <c r="P50" s="71"/>
      <c r="Q50" s="81"/>
    </row>
    <row r="51" spans="1:17" x14ac:dyDescent="0.35">
      <c r="A51" s="79">
        <v>3</v>
      </c>
      <c r="B51" s="88" t="s">
        <v>369</v>
      </c>
      <c r="C51" s="71">
        <v>40</v>
      </c>
      <c r="D51" s="71" t="s">
        <v>10</v>
      </c>
      <c r="E51" s="92">
        <v>46070</v>
      </c>
      <c r="F51" s="71" t="s">
        <v>122</v>
      </c>
      <c r="G51" s="73">
        <v>1.4416</v>
      </c>
      <c r="H51" s="73">
        <v>1.4830000000000001</v>
      </c>
      <c r="I51" s="73">
        <v>1.4496</v>
      </c>
      <c r="J51" s="94">
        <f t="shared" si="4"/>
        <v>4.1400000000000103E-2</v>
      </c>
      <c r="K51" s="73"/>
      <c r="L51" s="73"/>
      <c r="M51" s="73"/>
      <c r="N51" s="73">
        <f>SUM(I51-G51)</f>
        <v>8.0000000000000071E-3</v>
      </c>
      <c r="O51" s="71"/>
      <c r="P51" s="71"/>
      <c r="Q51" s="81"/>
    </row>
    <row r="52" spans="1:17" x14ac:dyDescent="0.35">
      <c r="A52" s="79">
        <v>3</v>
      </c>
      <c r="B52" s="88" t="s">
        <v>369</v>
      </c>
      <c r="C52" s="71">
        <v>40</v>
      </c>
      <c r="D52" s="71" t="s">
        <v>10</v>
      </c>
      <c r="E52" s="92">
        <v>46070</v>
      </c>
      <c r="F52" s="71" t="s">
        <v>123</v>
      </c>
      <c r="G52" s="73">
        <v>1.4410000000000001</v>
      </c>
      <c r="H52" s="73">
        <v>1.4706999999999999</v>
      </c>
      <c r="I52" s="73">
        <v>1.4479</v>
      </c>
      <c r="J52" s="94">
        <f t="shared" si="4"/>
        <v>2.9699999999999838E-2</v>
      </c>
      <c r="K52" s="73"/>
      <c r="L52" s="73"/>
      <c r="M52" s="73"/>
      <c r="N52" s="73">
        <f>SUM(I52-G52)</f>
        <v>6.8999999999999062E-3</v>
      </c>
      <c r="O52" s="71"/>
      <c r="P52" s="71"/>
      <c r="Q52" s="81"/>
    </row>
    <row r="53" spans="1:17" x14ac:dyDescent="0.35">
      <c r="A53" s="10">
        <v>3</v>
      </c>
      <c r="B53" s="88" t="s">
        <v>369</v>
      </c>
      <c r="C53" s="71">
        <v>40</v>
      </c>
      <c r="D53" s="74" t="s">
        <v>11</v>
      </c>
      <c r="E53" s="93">
        <v>46070</v>
      </c>
      <c r="F53" s="74" t="s">
        <v>124</v>
      </c>
      <c r="G53" s="21">
        <v>1.4410000000000001</v>
      </c>
      <c r="H53" s="21">
        <v>1.4741</v>
      </c>
      <c r="I53" s="21"/>
      <c r="J53" s="98">
        <f t="shared" si="4"/>
        <v>3.3099999999999907E-2</v>
      </c>
      <c r="K53" s="21">
        <f>AVERAGE(J53:J57)</f>
        <v>4.1200000000000035E-2</v>
      </c>
      <c r="L53" s="21">
        <f>SUM(J57)</f>
        <v>4.3100000000000138E-2</v>
      </c>
      <c r="M53" s="21">
        <f>SUM(J53)</f>
        <v>3.3099999999999907E-2</v>
      </c>
      <c r="N53" s="74"/>
      <c r="O53" s="74"/>
      <c r="P53" s="74"/>
      <c r="Q53" s="82"/>
    </row>
    <row r="54" spans="1:17" x14ac:dyDescent="0.35">
      <c r="A54" s="10">
        <v>3</v>
      </c>
      <c r="B54" s="88" t="s">
        <v>369</v>
      </c>
      <c r="C54" s="71">
        <v>40</v>
      </c>
      <c r="D54" s="74" t="s">
        <v>11</v>
      </c>
      <c r="E54" s="93">
        <v>46070</v>
      </c>
      <c r="F54" s="74" t="s">
        <v>125</v>
      </c>
      <c r="G54" s="21">
        <v>1.4461999999999999</v>
      </c>
      <c r="H54" s="21">
        <v>1.4795</v>
      </c>
      <c r="I54" s="21"/>
      <c r="J54" s="98">
        <f t="shared" si="4"/>
        <v>3.3300000000000107E-2</v>
      </c>
      <c r="K54" s="21"/>
      <c r="L54" s="21"/>
      <c r="M54" s="21"/>
      <c r="N54" s="74"/>
      <c r="O54" s="74"/>
      <c r="P54" s="74"/>
      <c r="Q54" s="82"/>
    </row>
    <row r="55" spans="1:17" x14ac:dyDescent="0.35">
      <c r="A55" s="10">
        <v>3</v>
      </c>
      <c r="B55" s="88" t="s">
        <v>369</v>
      </c>
      <c r="C55" s="71">
        <v>40</v>
      </c>
      <c r="D55" s="74" t="s">
        <v>11</v>
      </c>
      <c r="E55" s="93">
        <v>46070</v>
      </c>
      <c r="F55" s="74" t="s">
        <v>126</v>
      </c>
      <c r="G55" s="21">
        <v>1.4473</v>
      </c>
      <c r="H55" s="21">
        <v>1.4915</v>
      </c>
      <c r="I55" s="21"/>
      <c r="J55" s="98">
        <f t="shared" si="4"/>
        <v>4.4200000000000017E-2</v>
      </c>
      <c r="K55" s="21"/>
      <c r="L55" s="21"/>
      <c r="M55" s="21"/>
      <c r="N55" s="74"/>
      <c r="O55" s="74"/>
      <c r="P55" s="74"/>
      <c r="Q55" s="82"/>
    </row>
    <row r="56" spans="1:17" x14ac:dyDescent="0.35">
      <c r="A56" s="10">
        <v>3</v>
      </c>
      <c r="B56" s="88" t="s">
        <v>369</v>
      </c>
      <c r="C56" s="71">
        <v>40</v>
      </c>
      <c r="D56" s="74" t="s">
        <v>11</v>
      </c>
      <c r="E56" s="93">
        <v>46070</v>
      </c>
      <c r="F56" s="74" t="s">
        <v>127</v>
      </c>
      <c r="G56" s="21">
        <v>1.4514</v>
      </c>
      <c r="H56" s="21">
        <v>1.5037</v>
      </c>
      <c r="I56" s="21"/>
      <c r="J56" s="98">
        <f t="shared" si="4"/>
        <v>5.2300000000000013E-2</v>
      </c>
      <c r="K56" s="21"/>
      <c r="L56" s="21"/>
      <c r="M56" s="21"/>
      <c r="N56" s="74"/>
      <c r="O56" s="74"/>
      <c r="P56" s="74"/>
      <c r="Q56" s="82"/>
    </row>
    <row r="57" spans="1:17" x14ac:dyDescent="0.35">
      <c r="A57" s="10">
        <v>3</v>
      </c>
      <c r="B57" s="88" t="s">
        <v>369</v>
      </c>
      <c r="C57" s="71">
        <v>40</v>
      </c>
      <c r="D57" s="74" t="s">
        <v>11</v>
      </c>
      <c r="E57" s="93">
        <v>46070</v>
      </c>
      <c r="F57" s="74" t="s">
        <v>128</v>
      </c>
      <c r="G57" s="21">
        <v>1.4504999999999999</v>
      </c>
      <c r="H57" s="21">
        <v>1.4936</v>
      </c>
      <c r="I57" s="21"/>
      <c r="J57" s="98">
        <f t="shared" si="4"/>
        <v>4.3100000000000138E-2</v>
      </c>
      <c r="K57" s="21"/>
      <c r="L57" s="21"/>
      <c r="M57" s="21"/>
      <c r="N57" s="74"/>
      <c r="O57" s="74"/>
      <c r="P57" s="74"/>
      <c r="Q57" s="82"/>
    </row>
    <row r="58" spans="1:17" x14ac:dyDescent="0.35">
      <c r="A58" s="79">
        <v>6</v>
      </c>
      <c r="B58" s="88" t="s">
        <v>369</v>
      </c>
      <c r="C58" s="71">
        <v>40</v>
      </c>
      <c r="D58" s="71" t="s">
        <v>10</v>
      </c>
      <c r="E58" s="92">
        <v>46090</v>
      </c>
      <c r="F58" s="71" t="s">
        <v>149</v>
      </c>
      <c r="G58" s="73">
        <v>1.4491000000000001</v>
      </c>
      <c r="H58" s="73">
        <v>1.5055000000000001</v>
      </c>
      <c r="I58" s="73">
        <v>1.4537</v>
      </c>
      <c r="J58" s="94">
        <f>H58-G58</f>
        <v>5.6400000000000006E-2</v>
      </c>
      <c r="K58" s="73">
        <f>AVERAGE(J58:J62)</f>
        <v>5.0519999999999989E-2</v>
      </c>
      <c r="L58" s="73">
        <f>SUM(J59)</f>
        <v>4.5700000000000074E-2</v>
      </c>
      <c r="M58" s="73">
        <f>SUM(J61)</f>
        <v>6.1700000000000088E-2</v>
      </c>
      <c r="N58" s="73">
        <f>SUM(I58-G58)</f>
        <v>4.5999999999999375E-3</v>
      </c>
      <c r="O58" s="73">
        <f>AVERAGE(N58:N62)</f>
        <v>6.9599999999999888E-3</v>
      </c>
      <c r="P58" s="73">
        <v>1.0200000000000001E-2</v>
      </c>
      <c r="Q58" s="80">
        <v>4.5999999999999999E-3</v>
      </c>
    </row>
    <row r="59" spans="1:17" x14ac:dyDescent="0.35">
      <c r="A59" s="79">
        <v>6</v>
      </c>
      <c r="B59" s="88" t="s">
        <v>369</v>
      </c>
      <c r="C59" s="71">
        <v>40</v>
      </c>
      <c r="D59" s="71" t="s">
        <v>10</v>
      </c>
      <c r="E59" s="92">
        <v>46090</v>
      </c>
      <c r="F59" s="71" t="s">
        <v>150</v>
      </c>
      <c r="G59" s="73">
        <v>1.4473</v>
      </c>
      <c r="H59" s="73">
        <v>1.4930000000000001</v>
      </c>
      <c r="I59" s="73">
        <v>1.4541999999999999</v>
      </c>
      <c r="J59" s="94">
        <f t="shared" ref="J59:J67" si="5">H59-G59</f>
        <v>4.5700000000000074E-2</v>
      </c>
      <c r="K59" s="73"/>
      <c r="L59" s="73"/>
      <c r="M59" s="73"/>
      <c r="N59" s="73">
        <f>SUM(I59-G59)</f>
        <v>6.8999999999999062E-3</v>
      </c>
      <c r="O59" s="71"/>
      <c r="P59" s="71"/>
      <c r="Q59" s="81"/>
    </row>
    <row r="60" spans="1:17" x14ac:dyDescent="0.35">
      <c r="A60" s="79">
        <v>6</v>
      </c>
      <c r="B60" s="88" t="s">
        <v>369</v>
      </c>
      <c r="C60" s="71">
        <v>40</v>
      </c>
      <c r="D60" s="71" t="s">
        <v>10</v>
      </c>
      <c r="E60" s="92">
        <v>46090</v>
      </c>
      <c r="F60" s="71" t="s">
        <v>151</v>
      </c>
      <c r="G60" s="73">
        <v>1.4475</v>
      </c>
      <c r="H60" s="73">
        <v>1.4925999999999999</v>
      </c>
      <c r="I60" s="73">
        <v>1.4533</v>
      </c>
      <c r="J60" s="94">
        <f t="shared" si="5"/>
        <v>4.5099999999999918E-2</v>
      </c>
      <c r="K60" s="73"/>
      <c r="L60" s="73"/>
      <c r="M60" s="73"/>
      <c r="N60" s="73">
        <f>SUM(I60-G60)</f>
        <v>5.8000000000000274E-3</v>
      </c>
      <c r="O60" s="71"/>
      <c r="P60" s="71"/>
      <c r="Q60" s="81"/>
    </row>
    <row r="61" spans="1:17" x14ac:dyDescent="0.35">
      <c r="A61" s="79">
        <v>6</v>
      </c>
      <c r="B61" s="88" t="s">
        <v>369</v>
      </c>
      <c r="C61" s="71">
        <v>40</v>
      </c>
      <c r="D61" s="71" t="s">
        <v>10</v>
      </c>
      <c r="E61" s="92">
        <v>46090</v>
      </c>
      <c r="F61" s="71" t="s">
        <v>152</v>
      </c>
      <c r="G61" s="73">
        <v>1.4444999999999999</v>
      </c>
      <c r="H61" s="73">
        <v>1.5062</v>
      </c>
      <c r="I61" s="73">
        <v>1.4547000000000001</v>
      </c>
      <c r="J61" s="94">
        <f t="shared" si="5"/>
        <v>6.1700000000000088E-2</v>
      </c>
      <c r="K61" s="73"/>
      <c r="L61" s="73"/>
      <c r="M61" s="73"/>
      <c r="N61" s="73">
        <f>SUM(I61-G61)</f>
        <v>1.0200000000000209E-2</v>
      </c>
      <c r="O61" s="71"/>
      <c r="P61" s="71"/>
      <c r="Q61" s="81"/>
    </row>
    <row r="62" spans="1:17" x14ac:dyDescent="0.35">
      <c r="A62" s="79">
        <v>6</v>
      </c>
      <c r="B62" s="88" t="s">
        <v>369</v>
      </c>
      <c r="C62" s="71">
        <v>40</v>
      </c>
      <c r="D62" s="71" t="s">
        <v>10</v>
      </c>
      <c r="E62" s="92">
        <v>46090</v>
      </c>
      <c r="F62" s="71" t="s">
        <v>153</v>
      </c>
      <c r="G62" s="73">
        <v>1.4447000000000001</v>
      </c>
      <c r="H62" s="73">
        <v>1.4883999999999999</v>
      </c>
      <c r="I62" s="73">
        <v>1.452</v>
      </c>
      <c r="J62" s="94">
        <f t="shared" si="5"/>
        <v>4.369999999999985E-2</v>
      </c>
      <c r="K62" s="73"/>
      <c r="L62" s="73"/>
      <c r="M62" s="73"/>
      <c r="N62" s="73">
        <f>SUM(I62-G62)</f>
        <v>7.2999999999998622E-3</v>
      </c>
      <c r="O62" s="71"/>
      <c r="P62" s="71"/>
      <c r="Q62" s="81"/>
    </row>
    <row r="63" spans="1:17" x14ac:dyDescent="0.35">
      <c r="A63" s="79">
        <v>6</v>
      </c>
      <c r="B63" s="88" t="s">
        <v>369</v>
      </c>
      <c r="C63" s="71">
        <v>40</v>
      </c>
      <c r="D63" s="77" t="s">
        <v>11</v>
      </c>
      <c r="E63" s="96">
        <v>46090</v>
      </c>
      <c r="F63" s="74" t="s">
        <v>154</v>
      </c>
      <c r="G63" s="21">
        <v>1.4418</v>
      </c>
      <c r="H63" s="21">
        <v>1.5125999999999999</v>
      </c>
      <c r="I63" s="77"/>
      <c r="J63" s="98">
        <f t="shared" si="5"/>
        <v>7.0799999999999974E-2</v>
      </c>
      <c r="K63" s="76">
        <f>AVERAGE(J63:J67)</f>
        <v>5.2520000000000032E-2</v>
      </c>
      <c r="L63" s="21">
        <f>SUM(J63)</f>
        <v>7.0799999999999974E-2</v>
      </c>
      <c r="M63" s="21">
        <f>SUM(J67)</f>
        <v>5.5400000000000116E-2</v>
      </c>
      <c r="N63" s="74"/>
      <c r="O63" s="74"/>
      <c r="P63" s="74"/>
      <c r="Q63" s="82"/>
    </row>
    <row r="64" spans="1:17" x14ac:dyDescent="0.35">
      <c r="A64" s="79">
        <v>6</v>
      </c>
      <c r="B64" s="88" t="s">
        <v>369</v>
      </c>
      <c r="C64" s="71">
        <v>40</v>
      </c>
      <c r="D64" s="77" t="s">
        <v>11</v>
      </c>
      <c r="E64" s="96">
        <v>46090</v>
      </c>
      <c r="F64" s="74" t="s">
        <v>155</v>
      </c>
      <c r="G64" s="21">
        <v>1.4457</v>
      </c>
      <c r="H64" s="21">
        <v>1.4917</v>
      </c>
      <c r="I64" s="77"/>
      <c r="J64" s="98">
        <f t="shared" si="5"/>
        <v>4.6000000000000041E-2</v>
      </c>
      <c r="K64" s="77"/>
      <c r="L64" s="21"/>
      <c r="M64" s="21"/>
      <c r="N64" s="74"/>
      <c r="O64" s="74"/>
      <c r="P64" s="74"/>
      <c r="Q64" s="82"/>
    </row>
    <row r="65" spans="1:17" x14ac:dyDescent="0.35">
      <c r="A65" s="79">
        <v>6</v>
      </c>
      <c r="B65" s="88" t="s">
        <v>369</v>
      </c>
      <c r="C65" s="71">
        <v>40</v>
      </c>
      <c r="D65" s="77" t="s">
        <v>11</v>
      </c>
      <c r="E65" s="96">
        <v>46090</v>
      </c>
      <c r="F65" s="74" t="s">
        <v>156</v>
      </c>
      <c r="G65" s="21">
        <v>1.4460999999999999</v>
      </c>
      <c r="H65" s="21">
        <v>1.4927999999999999</v>
      </c>
      <c r="I65" s="77"/>
      <c r="J65" s="98">
        <f t="shared" si="5"/>
        <v>4.6699999999999964E-2</v>
      </c>
      <c r="K65" s="77"/>
      <c r="L65" s="21"/>
      <c r="M65" s="21"/>
      <c r="N65" s="74"/>
      <c r="O65" s="74"/>
      <c r="P65" s="74"/>
      <c r="Q65" s="82"/>
    </row>
    <row r="66" spans="1:17" x14ac:dyDescent="0.35">
      <c r="A66" s="79">
        <v>6</v>
      </c>
      <c r="B66" s="88" t="s">
        <v>369</v>
      </c>
      <c r="C66" s="71">
        <v>40</v>
      </c>
      <c r="D66" s="77" t="s">
        <v>11</v>
      </c>
      <c r="E66" s="96">
        <v>46090</v>
      </c>
      <c r="F66" s="74" t="s">
        <v>157</v>
      </c>
      <c r="G66" s="21">
        <v>1.4514</v>
      </c>
      <c r="H66" s="21">
        <v>1.4951000000000001</v>
      </c>
      <c r="I66" s="77"/>
      <c r="J66" s="98">
        <f t="shared" si="5"/>
        <v>4.3700000000000072E-2</v>
      </c>
      <c r="K66" s="77"/>
      <c r="L66" s="21"/>
      <c r="M66" s="21"/>
      <c r="N66" s="74"/>
      <c r="O66" s="74"/>
      <c r="P66" s="74"/>
      <c r="Q66" s="82"/>
    </row>
    <row r="67" spans="1:17" x14ac:dyDescent="0.35">
      <c r="A67" s="79">
        <v>6</v>
      </c>
      <c r="B67" s="88" t="s">
        <v>369</v>
      </c>
      <c r="C67" s="71">
        <v>40</v>
      </c>
      <c r="D67" s="77" t="s">
        <v>11</v>
      </c>
      <c r="E67" s="96">
        <v>46090</v>
      </c>
      <c r="F67" s="74" t="s">
        <v>158</v>
      </c>
      <c r="G67" s="21">
        <v>1.4464999999999999</v>
      </c>
      <c r="H67" s="21">
        <v>1.5019</v>
      </c>
      <c r="I67" s="77"/>
      <c r="J67" s="98">
        <f t="shared" si="5"/>
        <v>5.5400000000000116E-2</v>
      </c>
      <c r="K67" s="77"/>
      <c r="L67" s="21"/>
      <c r="M67" s="21"/>
      <c r="N67" s="74"/>
      <c r="O67" s="74"/>
      <c r="P67" s="74"/>
      <c r="Q67" s="82"/>
    </row>
    <row r="68" spans="1:17" x14ac:dyDescent="0.35">
      <c r="A68" s="79">
        <v>9</v>
      </c>
      <c r="B68" s="88" t="s">
        <v>369</v>
      </c>
      <c r="C68" s="71">
        <v>40</v>
      </c>
      <c r="D68" s="71" t="s">
        <v>10</v>
      </c>
      <c r="E68" s="92">
        <v>46111</v>
      </c>
      <c r="F68" s="71" t="s">
        <v>179</v>
      </c>
      <c r="G68" s="73">
        <v>1.4500999999999999</v>
      </c>
      <c r="H68" s="73">
        <v>1.5012000000000001</v>
      </c>
      <c r="I68" s="73">
        <v>1.4544999999999999</v>
      </c>
      <c r="J68" s="94">
        <f>H68-G68</f>
        <v>5.1100000000000145E-2</v>
      </c>
      <c r="K68" s="73">
        <f>AVERAGE(J68:J72)</f>
        <v>0.10118000000000009</v>
      </c>
      <c r="L68" s="73">
        <f>SUM(J70)</f>
        <v>4.5200000000000129E-2</v>
      </c>
      <c r="M68" s="73">
        <f>SUM(J71)</f>
        <v>8.9400000000000146E-2</v>
      </c>
      <c r="N68" s="73">
        <f>SUM(I68-G68)</f>
        <v>4.3999999999999595E-3</v>
      </c>
      <c r="O68" s="73">
        <f>AVERAGE(N68:N72)</f>
        <v>8.5199999999999946E-3</v>
      </c>
      <c r="P68" s="73">
        <v>1.15E-2</v>
      </c>
      <c r="Q68" s="80">
        <v>4.4000000000000003E-3</v>
      </c>
    </row>
    <row r="69" spans="1:17" x14ac:dyDescent="0.35">
      <c r="A69" s="79">
        <v>9</v>
      </c>
      <c r="B69" s="88" t="s">
        <v>369</v>
      </c>
      <c r="C69" s="71">
        <v>40</v>
      </c>
      <c r="D69" s="71" t="s">
        <v>10</v>
      </c>
      <c r="E69" s="92">
        <v>46111</v>
      </c>
      <c r="F69" s="71" t="s">
        <v>180</v>
      </c>
      <c r="G69" s="73">
        <v>1.444</v>
      </c>
      <c r="H69" s="73">
        <v>1.7134</v>
      </c>
      <c r="I69" s="73">
        <v>1.4550000000000001</v>
      </c>
      <c r="J69" s="94">
        <f>SUM(H69-G69)</f>
        <v>0.26940000000000008</v>
      </c>
      <c r="K69" s="73"/>
      <c r="L69" s="73"/>
      <c r="M69" s="73"/>
      <c r="N69" s="73">
        <f>SUM(I69-G69)</f>
        <v>1.1000000000000121E-2</v>
      </c>
      <c r="O69" s="71"/>
      <c r="P69" s="71"/>
      <c r="Q69" s="81"/>
    </row>
    <row r="70" spans="1:17" x14ac:dyDescent="0.35">
      <c r="A70" s="79">
        <v>9</v>
      </c>
      <c r="B70" s="88" t="s">
        <v>369</v>
      </c>
      <c r="C70" s="71">
        <v>40</v>
      </c>
      <c r="D70" s="71" t="s">
        <v>10</v>
      </c>
      <c r="E70" s="92">
        <v>46111</v>
      </c>
      <c r="F70" s="71" t="s">
        <v>181</v>
      </c>
      <c r="G70" s="73">
        <v>1.4400999999999999</v>
      </c>
      <c r="H70" s="73">
        <v>1.4853000000000001</v>
      </c>
      <c r="I70" s="73">
        <v>1.4516</v>
      </c>
      <c r="J70" s="94">
        <f t="shared" ref="J70:J77" si="6">H70-G70</f>
        <v>4.5200000000000129E-2</v>
      </c>
      <c r="K70" s="73"/>
      <c r="L70" s="73"/>
      <c r="M70" s="73"/>
      <c r="N70" s="73">
        <f>SUM(I70-G70)</f>
        <v>1.1500000000000066E-2</v>
      </c>
      <c r="O70" s="71"/>
      <c r="P70" s="71"/>
      <c r="Q70" s="81"/>
    </row>
    <row r="71" spans="1:17" x14ac:dyDescent="0.35">
      <c r="A71" s="79">
        <v>9</v>
      </c>
      <c r="B71" s="88" t="s">
        <v>369</v>
      </c>
      <c r="C71" s="71">
        <v>40</v>
      </c>
      <c r="D71" s="71" t="s">
        <v>10</v>
      </c>
      <c r="E71" s="92">
        <v>46111</v>
      </c>
      <c r="F71" s="71" t="s">
        <v>182</v>
      </c>
      <c r="G71" s="73">
        <v>1.4460999999999999</v>
      </c>
      <c r="H71" s="73">
        <v>1.5355000000000001</v>
      </c>
      <c r="I71" s="73">
        <v>1.4545999999999999</v>
      </c>
      <c r="J71" s="94">
        <f t="shared" si="6"/>
        <v>8.9400000000000146E-2</v>
      </c>
      <c r="K71" s="73"/>
      <c r="L71" s="73"/>
      <c r="M71" s="73"/>
      <c r="N71" s="73">
        <f>SUM(I71-G71)</f>
        <v>8.499999999999952E-3</v>
      </c>
      <c r="O71" s="71"/>
      <c r="P71" s="71"/>
      <c r="Q71" s="81"/>
    </row>
    <row r="72" spans="1:17" x14ac:dyDescent="0.35">
      <c r="A72" s="79">
        <v>9</v>
      </c>
      <c r="B72" s="88" t="s">
        <v>369</v>
      </c>
      <c r="C72" s="71">
        <v>40</v>
      </c>
      <c r="D72" s="71" t="s">
        <v>10</v>
      </c>
      <c r="E72" s="92">
        <v>46111</v>
      </c>
      <c r="F72" s="71" t="s">
        <v>183</v>
      </c>
      <c r="G72" s="73">
        <v>1.4449000000000001</v>
      </c>
      <c r="H72" s="73">
        <v>1.4957</v>
      </c>
      <c r="I72" s="73">
        <v>1.4520999999999999</v>
      </c>
      <c r="J72" s="94">
        <f t="shared" si="6"/>
        <v>5.0799999999999956E-2</v>
      </c>
      <c r="K72" s="73"/>
      <c r="L72" s="73"/>
      <c r="M72" s="73"/>
      <c r="N72" s="73">
        <f>SUM(I72-G72)</f>
        <v>7.1999999999998732E-3</v>
      </c>
      <c r="O72" s="71"/>
      <c r="P72" s="71"/>
      <c r="Q72" s="81"/>
    </row>
    <row r="73" spans="1:17" x14ac:dyDescent="0.35">
      <c r="A73" s="83">
        <v>9</v>
      </c>
      <c r="B73" s="88" t="s">
        <v>369</v>
      </c>
      <c r="C73" s="71">
        <v>40</v>
      </c>
      <c r="D73" s="74" t="s">
        <v>11</v>
      </c>
      <c r="E73" s="93">
        <v>46111</v>
      </c>
      <c r="F73" s="74" t="s">
        <v>184</v>
      </c>
      <c r="G73" s="21">
        <v>1.4426000000000001</v>
      </c>
      <c r="H73" s="21">
        <v>1.5385</v>
      </c>
      <c r="I73" s="74"/>
      <c r="J73" s="95">
        <f t="shared" si="6"/>
        <v>9.5899999999999874E-2</v>
      </c>
      <c r="K73" s="21">
        <f>AVERAGE(J73:J77)</f>
        <v>6.6879999999999967E-2</v>
      </c>
      <c r="L73" s="21">
        <f>SUM(J77)</f>
        <v>6.4300000000000024E-2</v>
      </c>
      <c r="M73" s="21">
        <f>SUM(J76)</f>
        <v>5.3499999999999881E-2</v>
      </c>
      <c r="N73" s="74"/>
      <c r="O73" s="74"/>
      <c r="P73" s="74"/>
      <c r="Q73" s="82"/>
    </row>
    <row r="74" spans="1:17" x14ac:dyDescent="0.35">
      <c r="A74" s="83">
        <v>9</v>
      </c>
      <c r="B74" s="88" t="s">
        <v>369</v>
      </c>
      <c r="C74" s="71">
        <v>40</v>
      </c>
      <c r="D74" s="74" t="s">
        <v>11</v>
      </c>
      <c r="E74" s="93">
        <v>46111</v>
      </c>
      <c r="F74" s="74" t="s">
        <v>185</v>
      </c>
      <c r="G74" s="21">
        <v>1.444</v>
      </c>
      <c r="H74" s="21">
        <v>1.5078</v>
      </c>
      <c r="I74" s="74"/>
      <c r="J74" s="95">
        <f t="shared" si="6"/>
        <v>6.3800000000000079E-2</v>
      </c>
      <c r="K74" s="74"/>
      <c r="L74" s="21"/>
      <c r="M74" s="21"/>
      <c r="N74" s="74"/>
      <c r="O74" s="74"/>
      <c r="P74" s="74"/>
      <c r="Q74" s="82"/>
    </row>
    <row r="75" spans="1:17" x14ac:dyDescent="0.35">
      <c r="A75" s="83">
        <v>9</v>
      </c>
      <c r="B75" s="88" t="s">
        <v>369</v>
      </c>
      <c r="C75" s="71">
        <v>40</v>
      </c>
      <c r="D75" s="74" t="s">
        <v>11</v>
      </c>
      <c r="E75" s="93">
        <v>46111</v>
      </c>
      <c r="F75" s="74" t="s">
        <v>186</v>
      </c>
      <c r="G75" s="21">
        <v>1.4450000000000001</v>
      </c>
      <c r="H75" s="21">
        <v>1.5019</v>
      </c>
      <c r="I75" s="74"/>
      <c r="J75" s="95">
        <f t="shared" si="6"/>
        <v>5.6899999999999951E-2</v>
      </c>
      <c r="K75" s="74"/>
      <c r="L75" s="21"/>
      <c r="M75" s="21"/>
      <c r="N75" s="74"/>
      <c r="O75" s="74"/>
      <c r="P75" s="74"/>
      <c r="Q75" s="82"/>
    </row>
    <row r="76" spans="1:17" x14ac:dyDescent="0.35">
      <c r="A76" s="83">
        <v>9</v>
      </c>
      <c r="B76" s="88" t="s">
        <v>369</v>
      </c>
      <c r="C76" s="71">
        <v>40</v>
      </c>
      <c r="D76" s="74" t="s">
        <v>11</v>
      </c>
      <c r="E76" s="93">
        <v>46111</v>
      </c>
      <c r="F76" s="74" t="s">
        <v>187</v>
      </c>
      <c r="G76" s="21">
        <v>1.4454</v>
      </c>
      <c r="H76" s="21">
        <v>1.4988999999999999</v>
      </c>
      <c r="I76" s="74"/>
      <c r="J76" s="95">
        <f t="shared" si="6"/>
        <v>5.3499999999999881E-2</v>
      </c>
      <c r="K76" s="74"/>
      <c r="L76" s="21"/>
      <c r="M76" s="21"/>
      <c r="N76" s="74"/>
      <c r="O76" s="74"/>
      <c r="P76" s="74"/>
      <c r="Q76" s="82"/>
    </row>
    <row r="77" spans="1:17" x14ac:dyDescent="0.35">
      <c r="A77" s="83">
        <v>9</v>
      </c>
      <c r="B77" s="88" t="s">
        <v>369</v>
      </c>
      <c r="C77" s="71">
        <v>40</v>
      </c>
      <c r="D77" s="74" t="s">
        <v>11</v>
      </c>
      <c r="E77" s="93">
        <v>46111</v>
      </c>
      <c r="F77" s="74" t="s">
        <v>188</v>
      </c>
      <c r="G77" s="21">
        <v>1.4448000000000001</v>
      </c>
      <c r="H77" s="21">
        <v>1.5091000000000001</v>
      </c>
      <c r="I77" s="74"/>
      <c r="J77" s="95">
        <f t="shared" si="6"/>
        <v>6.4300000000000024E-2</v>
      </c>
      <c r="K77" s="74"/>
      <c r="L77" s="21"/>
      <c r="M77" s="21"/>
      <c r="N77" s="74"/>
      <c r="O77" s="74"/>
      <c r="P77" s="74"/>
      <c r="Q77" s="82"/>
    </row>
    <row r="78" spans="1:17" x14ac:dyDescent="0.35">
      <c r="A78" s="79">
        <v>12</v>
      </c>
      <c r="B78" s="88" t="s">
        <v>369</v>
      </c>
      <c r="C78" s="71">
        <v>40</v>
      </c>
      <c r="D78" s="71" t="s">
        <v>10</v>
      </c>
      <c r="E78" s="92">
        <v>46133</v>
      </c>
      <c r="F78" s="71" t="s">
        <v>380</v>
      </c>
      <c r="G78" s="73">
        <v>1.4413</v>
      </c>
      <c r="H78" s="73">
        <v>1.5006999999999999</v>
      </c>
      <c r="I78" s="73">
        <v>1.4523999999999999</v>
      </c>
      <c r="J78" s="94">
        <f>SUM(H78-G78)</f>
        <v>5.9399999999999897E-2</v>
      </c>
      <c r="K78" s="73">
        <f>AVERAGE(J78:J82)</f>
        <v>6.0740000000000016E-2</v>
      </c>
      <c r="L78" s="73">
        <f>SUM(J81)</f>
        <v>6.1700000000000088E-2</v>
      </c>
      <c r="M78" s="73">
        <f>SUM(J78)</f>
        <v>5.9399999999999897E-2</v>
      </c>
      <c r="N78" s="73">
        <f>SUM(I78-G78)</f>
        <v>1.1099999999999888E-2</v>
      </c>
      <c r="O78" s="73">
        <f>AVERAGE(N78:N82)</f>
        <v>9.4999999999999755E-3</v>
      </c>
      <c r="P78" s="73">
        <v>1.11E-2</v>
      </c>
      <c r="Q78" s="80">
        <v>8.8000000000000005E-3</v>
      </c>
    </row>
    <row r="79" spans="1:17" x14ac:dyDescent="0.35">
      <c r="A79" s="79">
        <v>12</v>
      </c>
      <c r="B79" s="88" t="s">
        <v>369</v>
      </c>
      <c r="C79" s="71">
        <v>40</v>
      </c>
      <c r="D79" s="71" t="s">
        <v>10</v>
      </c>
      <c r="E79" s="92">
        <v>46133</v>
      </c>
      <c r="F79" s="71" t="s">
        <v>381</v>
      </c>
      <c r="G79" s="73">
        <v>1.4460999999999999</v>
      </c>
      <c r="H79" s="73">
        <v>1.5084</v>
      </c>
      <c r="I79" s="73">
        <v>1.4554</v>
      </c>
      <c r="J79" s="94">
        <f t="shared" ref="J79:J87" si="7">SUM(H79-G79)</f>
        <v>6.2300000000000022E-2</v>
      </c>
      <c r="K79" s="71"/>
      <c r="L79" s="71"/>
      <c r="M79" s="71"/>
      <c r="N79" s="73">
        <f>SUM(I79-G79)</f>
        <v>9.300000000000086E-3</v>
      </c>
      <c r="O79" s="71"/>
      <c r="P79" s="71"/>
      <c r="Q79" s="81"/>
    </row>
    <row r="80" spans="1:17" x14ac:dyDescent="0.35">
      <c r="A80" s="79">
        <v>12</v>
      </c>
      <c r="B80" s="88" t="s">
        <v>369</v>
      </c>
      <c r="C80" s="71">
        <v>40</v>
      </c>
      <c r="D80" s="71" t="s">
        <v>10</v>
      </c>
      <c r="E80" s="92">
        <v>46133</v>
      </c>
      <c r="F80" s="71" t="s">
        <v>382</v>
      </c>
      <c r="G80" s="73">
        <v>1.4429000000000001</v>
      </c>
      <c r="H80" s="73">
        <v>1.4974000000000001</v>
      </c>
      <c r="I80" s="73">
        <v>1.452</v>
      </c>
      <c r="J80" s="94">
        <f t="shared" si="7"/>
        <v>5.4499999999999993E-2</v>
      </c>
      <c r="K80" s="71"/>
      <c r="L80" s="71"/>
      <c r="M80" s="71"/>
      <c r="N80" s="73">
        <f>SUM(I80-G80)</f>
        <v>9.099999999999886E-3</v>
      </c>
      <c r="O80" s="71"/>
      <c r="P80" s="71"/>
      <c r="Q80" s="81"/>
    </row>
    <row r="81" spans="1:17" x14ac:dyDescent="0.35">
      <c r="A81" s="79">
        <v>12</v>
      </c>
      <c r="B81" s="88" t="s">
        <v>369</v>
      </c>
      <c r="C81" s="71">
        <v>40</v>
      </c>
      <c r="D81" s="71" t="s">
        <v>10</v>
      </c>
      <c r="E81" s="92">
        <v>46133</v>
      </c>
      <c r="F81" s="71" t="s">
        <v>383</v>
      </c>
      <c r="G81" s="73">
        <v>1.4456</v>
      </c>
      <c r="H81" s="73">
        <v>1.5073000000000001</v>
      </c>
      <c r="I81" s="73">
        <v>1.4548000000000001</v>
      </c>
      <c r="J81" s="94">
        <f t="shared" si="7"/>
        <v>6.1700000000000088E-2</v>
      </c>
      <c r="K81" s="71"/>
      <c r="L81" s="71"/>
      <c r="M81" s="71"/>
      <c r="N81" s="73">
        <f>SUM(I81-G81)</f>
        <v>9.200000000000097E-3</v>
      </c>
      <c r="O81" s="71"/>
      <c r="P81" s="71"/>
      <c r="Q81" s="81"/>
    </row>
    <row r="82" spans="1:17" x14ac:dyDescent="0.35">
      <c r="A82" s="79">
        <v>12</v>
      </c>
      <c r="B82" s="88" t="s">
        <v>369</v>
      </c>
      <c r="C82" s="71">
        <v>40</v>
      </c>
      <c r="D82" s="71" t="s">
        <v>10</v>
      </c>
      <c r="E82" s="92">
        <v>46133</v>
      </c>
      <c r="F82" s="71" t="s">
        <v>384</v>
      </c>
      <c r="G82" s="73">
        <v>1.4433</v>
      </c>
      <c r="H82" s="73">
        <v>1.5091000000000001</v>
      </c>
      <c r="I82" s="73">
        <v>1.4520999999999999</v>
      </c>
      <c r="J82" s="94">
        <f t="shared" si="7"/>
        <v>6.5800000000000081E-2</v>
      </c>
      <c r="K82" s="71"/>
      <c r="L82" s="71"/>
      <c r="M82" s="71"/>
      <c r="N82" s="73">
        <f>SUM(I82-G82)</f>
        <v>8.799999999999919E-3</v>
      </c>
      <c r="O82" s="71"/>
      <c r="P82" s="71"/>
      <c r="Q82" s="81"/>
    </row>
    <row r="83" spans="1:17" x14ac:dyDescent="0.35">
      <c r="A83" s="83">
        <v>12</v>
      </c>
      <c r="B83" s="88" t="s">
        <v>369</v>
      </c>
      <c r="C83" s="71">
        <v>40</v>
      </c>
      <c r="D83" s="74" t="s">
        <v>11</v>
      </c>
      <c r="E83" s="93">
        <v>46133</v>
      </c>
      <c r="F83" s="74" t="s">
        <v>385</v>
      </c>
      <c r="G83" s="21">
        <v>1.4410000000000001</v>
      </c>
      <c r="H83" s="21">
        <v>1.49</v>
      </c>
      <c r="I83" s="74"/>
      <c r="J83" s="95">
        <f t="shared" si="7"/>
        <v>4.8999999999999932E-2</v>
      </c>
      <c r="K83" s="21">
        <f>AVERAGE(J83:J87)</f>
        <v>6.1119999999999973E-2</v>
      </c>
      <c r="L83" s="21">
        <f>SUM(J87)</f>
        <v>6.6100000000000048E-2</v>
      </c>
      <c r="M83" s="21">
        <f>SUM(J83)</f>
        <v>4.8999999999999932E-2</v>
      </c>
      <c r="N83" s="74"/>
      <c r="O83" s="74"/>
      <c r="P83" s="74"/>
      <c r="Q83" s="82"/>
    </row>
    <row r="84" spans="1:17" x14ac:dyDescent="0.35">
      <c r="A84" s="83">
        <v>12</v>
      </c>
      <c r="B84" s="88" t="s">
        <v>369</v>
      </c>
      <c r="C84" s="71">
        <v>40</v>
      </c>
      <c r="D84" s="74" t="s">
        <v>11</v>
      </c>
      <c r="E84" s="93">
        <v>46133</v>
      </c>
      <c r="F84" s="74" t="s">
        <v>386</v>
      </c>
      <c r="G84" s="21">
        <v>1.4448000000000001</v>
      </c>
      <c r="H84" s="21">
        <v>1.5096000000000001</v>
      </c>
      <c r="I84" s="74"/>
      <c r="J84" s="95">
        <f t="shared" si="7"/>
        <v>6.4799999999999969E-2</v>
      </c>
      <c r="K84" s="74"/>
      <c r="L84" s="74"/>
      <c r="M84" s="74"/>
      <c r="N84" s="74"/>
      <c r="O84" s="74"/>
      <c r="P84" s="74"/>
      <c r="Q84" s="82"/>
    </row>
    <row r="85" spans="1:17" x14ac:dyDescent="0.35">
      <c r="A85" s="83">
        <v>12</v>
      </c>
      <c r="B85" s="88" t="s">
        <v>369</v>
      </c>
      <c r="C85" s="71">
        <v>40</v>
      </c>
      <c r="D85" s="74" t="s">
        <v>11</v>
      </c>
      <c r="E85" s="93">
        <v>46133</v>
      </c>
      <c r="F85" s="74" t="s">
        <v>387</v>
      </c>
      <c r="G85" s="21">
        <v>1.4428000000000001</v>
      </c>
      <c r="H85" s="21">
        <v>1.5071000000000001</v>
      </c>
      <c r="I85" s="74"/>
      <c r="J85" s="95">
        <f t="shared" si="7"/>
        <v>6.4300000000000024E-2</v>
      </c>
      <c r="K85" s="74"/>
      <c r="L85" s="74"/>
      <c r="M85" s="74"/>
      <c r="N85" s="74"/>
      <c r="O85" s="74"/>
      <c r="P85" s="74"/>
      <c r="Q85" s="82"/>
    </row>
    <row r="86" spans="1:17" x14ac:dyDescent="0.35">
      <c r="A86" s="83">
        <v>12</v>
      </c>
      <c r="B86" s="88" t="s">
        <v>369</v>
      </c>
      <c r="C86" s="71">
        <v>40</v>
      </c>
      <c r="D86" s="74" t="s">
        <v>11</v>
      </c>
      <c r="E86" s="93">
        <v>46133</v>
      </c>
      <c r="F86" s="74" t="s">
        <v>388</v>
      </c>
      <c r="G86" s="21">
        <v>1.4446000000000001</v>
      </c>
      <c r="H86" s="21">
        <v>1.506</v>
      </c>
      <c r="I86" s="74"/>
      <c r="J86" s="95">
        <f t="shared" si="7"/>
        <v>6.1399999999999899E-2</v>
      </c>
      <c r="K86" s="74"/>
      <c r="L86" s="74"/>
      <c r="M86" s="74"/>
      <c r="N86" s="74"/>
      <c r="O86" s="74"/>
      <c r="P86" s="74"/>
      <c r="Q86" s="82"/>
    </row>
    <row r="87" spans="1:17" ht="15" thickBot="1" x14ac:dyDescent="0.4">
      <c r="A87" s="87">
        <v>12</v>
      </c>
      <c r="B87" s="100" t="s">
        <v>369</v>
      </c>
      <c r="C87" s="101">
        <v>40</v>
      </c>
      <c r="D87" s="84" t="s">
        <v>11</v>
      </c>
      <c r="E87" s="97">
        <v>46133</v>
      </c>
      <c r="F87" s="84" t="s">
        <v>389</v>
      </c>
      <c r="G87" s="23">
        <v>1.446</v>
      </c>
      <c r="H87" s="23">
        <v>1.5121</v>
      </c>
      <c r="I87" s="84"/>
      <c r="J87" s="99">
        <f t="shared" si="7"/>
        <v>6.6100000000000048E-2</v>
      </c>
      <c r="K87" s="84"/>
      <c r="L87" s="84"/>
      <c r="M87" s="84"/>
      <c r="N87" s="84"/>
      <c r="O87" s="84"/>
      <c r="P87" s="84"/>
      <c r="Q87" s="86"/>
    </row>
    <row r="88" spans="1:17" x14ac:dyDescent="0.35">
      <c r="A88" s="206" t="s">
        <v>556</v>
      </c>
      <c r="B88" s="207"/>
      <c r="C88" s="207"/>
      <c r="D88" s="207"/>
      <c r="E88" s="207"/>
      <c r="F88" s="207"/>
      <c r="G88" s="207"/>
      <c r="H88" s="207"/>
      <c r="I88" s="207"/>
      <c r="J88" s="207"/>
      <c r="K88" s="207"/>
      <c r="L88" s="207"/>
      <c r="M88" s="207"/>
      <c r="N88" s="207"/>
      <c r="O88" s="207"/>
      <c r="P88" s="207"/>
      <c r="Q88" s="208"/>
    </row>
    <row r="89" spans="1:17" x14ac:dyDescent="0.35">
      <c r="A89" s="79">
        <v>3</v>
      </c>
      <c r="B89" s="88" t="s">
        <v>369</v>
      </c>
      <c r="C89" s="71">
        <v>60</v>
      </c>
      <c r="D89" s="71" t="s">
        <v>10</v>
      </c>
      <c r="E89" s="92">
        <v>46070</v>
      </c>
      <c r="F89" s="71" t="s">
        <v>129</v>
      </c>
      <c r="G89" s="73">
        <v>1.4463999999999999</v>
      </c>
      <c r="H89" s="73">
        <v>1.5093000000000001</v>
      </c>
      <c r="I89" s="73">
        <v>1.4637</v>
      </c>
      <c r="J89" s="94">
        <f>SUM(H89-G89)</f>
        <v>6.2900000000000178E-2</v>
      </c>
      <c r="K89" s="73">
        <f>AVERAGE(J89:J93)</f>
        <v>6.1700000000000046E-2</v>
      </c>
      <c r="L89" s="73">
        <f>SUM(J90)</f>
        <v>6.1400000000000121E-2</v>
      </c>
      <c r="M89" s="73">
        <f>SUM(J89)</f>
        <v>6.2900000000000178E-2</v>
      </c>
      <c r="N89" s="73">
        <f>SUM(I89-G89)</f>
        <v>1.7300000000000093E-2</v>
      </c>
      <c r="O89" s="73">
        <f>AVERAGE(N89:N93)</f>
        <v>1.3580000000000014E-2</v>
      </c>
      <c r="P89" s="73">
        <v>1.7299999999999999E-2</v>
      </c>
      <c r="Q89" s="80">
        <v>9.7000000000000003E-3</v>
      </c>
    </row>
    <row r="90" spans="1:17" x14ac:dyDescent="0.35">
      <c r="A90" s="79">
        <v>3</v>
      </c>
      <c r="B90" s="88" t="s">
        <v>369</v>
      </c>
      <c r="C90" s="71">
        <v>60</v>
      </c>
      <c r="D90" s="71" t="s">
        <v>10</v>
      </c>
      <c r="E90" s="92">
        <v>46070</v>
      </c>
      <c r="F90" s="71" t="s">
        <v>131</v>
      </c>
      <c r="G90" s="73">
        <v>1.4422999999999999</v>
      </c>
      <c r="H90" s="73">
        <v>1.5037</v>
      </c>
      <c r="I90" s="73">
        <v>1.452</v>
      </c>
      <c r="J90" s="94">
        <f t="shared" ref="J90:J98" si="8">SUM(H90-G90)</f>
        <v>6.1400000000000121E-2</v>
      </c>
      <c r="K90" s="73"/>
      <c r="L90" s="73"/>
      <c r="M90" s="73"/>
      <c r="N90" s="73">
        <f>SUM(I90-G90)</f>
        <v>9.7000000000000419E-3</v>
      </c>
      <c r="O90" s="71"/>
      <c r="P90" s="71"/>
      <c r="Q90" s="81"/>
    </row>
    <row r="91" spans="1:17" x14ac:dyDescent="0.35">
      <c r="A91" s="79">
        <v>3</v>
      </c>
      <c r="B91" s="88" t="s">
        <v>369</v>
      </c>
      <c r="C91" s="71">
        <v>60</v>
      </c>
      <c r="D91" s="71" t="s">
        <v>10</v>
      </c>
      <c r="E91" s="92">
        <v>46070</v>
      </c>
      <c r="F91" s="71" t="s">
        <v>132</v>
      </c>
      <c r="G91" s="73">
        <v>1.4433</v>
      </c>
      <c r="H91" s="73">
        <v>1.5024</v>
      </c>
      <c r="I91" s="73">
        <v>1.4571000000000001</v>
      </c>
      <c r="J91" s="94">
        <f t="shared" si="8"/>
        <v>5.909999999999993E-2</v>
      </c>
      <c r="K91" s="73"/>
      <c r="L91" s="73"/>
      <c r="M91" s="73"/>
      <c r="N91" s="73">
        <f>SUM(I91-G91)</f>
        <v>1.3800000000000034E-2</v>
      </c>
      <c r="O91" s="71"/>
      <c r="P91" s="71"/>
      <c r="Q91" s="81"/>
    </row>
    <row r="92" spans="1:17" x14ac:dyDescent="0.35">
      <c r="A92" s="79">
        <v>3</v>
      </c>
      <c r="B92" s="88" t="s">
        <v>369</v>
      </c>
      <c r="C92" s="71">
        <v>60</v>
      </c>
      <c r="D92" s="71" t="s">
        <v>10</v>
      </c>
      <c r="E92" s="92">
        <v>46070</v>
      </c>
      <c r="F92" s="71" t="s">
        <v>133</v>
      </c>
      <c r="G92" s="73">
        <v>1.4480999999999999</v>
      </c>
      <c r="H92" s="73">
        <v>1.5106999999999999</v>
      </c>
      <c r="I92" s="73">
        <v>1.4621</v>
      </c>
      <c r="J92" s="94">
        <f t="shared" si="8"/>
        <v>6.2599999999999989E-2</v>
      </c>
      <c r="K92" s="73"/>
      <c r="L92" s="73"/>
      <c r="M92" s="73"/>
      <c r="N92" s="73">
        <f>SUM(I92-G92)</f>
        <v>1.4000000000000012E-2</v>
      </c>
      <c r="O92" s="71"/>
      <c r="P92" s="71"/>
      <c r="Q92" s="81"/>
    </row>
    <row r="93" spans="1:17" x14ac:dyDescent="0.35">
      <c r="A93" s="79">
        <v>3</v>
      </c>
      <c r="B93" s="88" t="s">
        <v>369</v>
      </c>
      <c r="C93" s="71">
        <v>60</v>
      </c>
      <c r="D93" s="71" t="s">
        <v>10</v>
      </c>
      <c r="E93" s="92">
        <v>46070</v>
      </c>
      <c r="F93" s="71" t="s">
        <v>134</v>
      </c>
      <c r="G93" s="73">
        <v>1.4455</v>
      </c>
      <c r="H93" s="73">
        <v>1.508</v>
      </c>
      <c r="I93" s="73">
        <v>1.4585999999999999</v>
      </c>
      <c r="J93" s="94">
        <f t="shared" si="8"/>
        <v>6.25E-2</v>
      </c>
      <c r="K93" s="73"/>
      <c r="L93" s="73"/>
      <c r="M93" s="73"/>
      <c r="N93" s="73">
        <f>SUM(I93-G93)</f>
        <v>1.309999999999989E-2</v>
      </c>
      <c r="O93" s="71"/>
      <c r="P93" s="71"/>
      <c r="Q93" s="81"/>
    </row>
    <row r="94" spans="1:17" x14ac:dyDescent="0.35">
      <c r="A94" s="10">
        <v>3</v>
      </c>
      <c r="B94" s="90" t="s">
        <v>369</v>
      </c>
      <c r="C94" s="77">
        <v>60</v>
      </c>
      <c r="D94" s="74" t="s">
        <v>11</v>
      </c>
      <c r="E94" s="93">
        <v>46070</v>
      </c>
      <c r="F94" s="74" t="s">
        <v>130</v>
      </c>
      <c r="G94" s="21">
        <v>1.4429000000000001</v>
      </c>
      <c r="H94" s="21">
        <v>1.4849000000000001</v>
      </c>
      <c r="I94" s="21"/>
      <c r="J94" s="98">
        <f t="shared" si="8"/>
        <v>4.2000000000000037E-2</v>
      </c>
      <c r="K94" s="21">
        <f>AVERAGE(J94:J98)</f>
        <v>5.2819999999999999E-2</v>
      </c>
      <c r="L94" s="21">
        <f>SUM(J98)</f>
        <v>5.4100000000000037E-2</v>
      </c>
      <c r="M94" s="21">
        <f>SUM(J94)</f>
        <v>4.2000000000000037E-2</v>
      </c>
      <c r="N94" s="74"/>
      <c r="O94" s="74"/>
      <c r="P94" s="74"/>
      <c r="Q94" s="82"/>
    </row>
    <row r="95" spans="1:17" x14ac:dyDescent="0.35">
      <c r="A95" s="10">
        <v>3</v>
      </c>
      <c r="B95" s="90" t="s">
        <v>369</v>
      </c>
      <c r="C95" s="77">
        <v>60</v>
      </c>
      <c r="D95" s="74" t="s">
        <v>11</v>
      </c>
      <c r="E95" s="93">
        <v>46070</v>
      </c>
      <c r="F95" s="74" t="s">
        <v>135</v>
      </c>
      <c r="G95" s="21">
        <v>1.4504999999999999</v>
      </c>
      <c r="H95" s="21">
        <v>1.5067999999999999</v>
      </c>
      <c r="I95" s="21"/>
      <c r="J95" s="98">
        <f t="shared" si="8"/>
        <v>5.6300000000000017E-2</v>
      </c>
      <c r="K95" s="21"/>
      <c r="L95" s="21"/>
      <c r="M95" s="21"/>
      <c r="N95" s="74"/>
      <c r="O95" s="74"/>
      <c r="P95" s="74"/>
      <c r="Q95" s="82"/>
    </row>
    <row r="96" spans="1:17" x14ac:dyDescent="0.35">
      <c r="A96" s="10">
        <v>3</v>
      </c>
      <c r="B96" s="90" t="s">
        <v>369</v>
      </c>
      <c r="C96" s="77">
        <v>60</v>
      </c>
      <c r="D96" s="74" t="s">
        <v>11</v>
      </c>
      <c r="E96" s="93">
        <v>46070</v>
      </c>
      <c r="F96" s="74" t="s">
        <v>136</v>
      </c>
      <c r="G96" s="21">
        <v>1.4454</v>
      </c>
      <c r="H96" s="21">
        <v>1.5066999999999999</v>
      </c>
      <c r="I96" s="21"/>
      <c r="J96" s="98">
        <f t="shared" si="8"/>
        <v>6.129999999999991E-2</v>
      </c>
      <c r="K96" s="21"/>
      <c r="L96" s="21"/>
      <c r="M96" s="21"/>
      <c r="N96" s="74"/>
      <c r="O96" s="74"/>
      <c r="P96" s="74"/>
      <c r="Q96" s="82"/>
    </row>
    <row r="97" spans="1:18" x14ac:dyDescent="0.35">
      <c r="A97" s="10">
        <v>3</v>
      </c>
      <c r="B97" s="90" t="s">
        <v>369</v>
      </c>
      <c r="C97" s="77">
        <v>60</v>
      </c>
      <c r="D97" s="74" t="s">
        <v>11</v>
      </c>
      <c r="E97" s="93">
        <v>46070</v>
      </c>
      <c r="F97" s="74" t="s">
        <v>137</v>
      </c>
      <c r="G97" s="21">
        <v>1.4493</v>
      </c>
      <c r="H97" s="21">
        <v>1.4997</v>
      </c>
      <c r="I97" s="21"/>
      <c r="J97" s="98">
        <f t="shared" si="8"/>
        <v>5.04E-2</v>
      </c>
      <c r="K97" s="21"/>
      <c r="L97" s="21"/>
      <c r="M97" s="21"/>
      <c r="N97" s="74"/>
      <c r="O97" s="74"/>
      <c r="P97" s="74"/>
      <c r="Q97" s="82"/>
    </row>
    <row r="98" spans="1:18" x14ac:dyDescent="0.35">
      <c r="A98" s="10">
        <v>3</v>
      </c>
      <c r="B98" s="90" t="s">
        <v>369</v>
      </c>
      <c r="C98" s="77">
        <v>60</v>
      </c>
      <c r="D98" s="74" t="s">
        <v>11</v>
      </c>
      <c r="E98" s="93">
        <v>46070</v>
      </c>
      <c r="F98" s="74" t="s">
        <v>138</v>
      </c>
      <c r="G98" s="21">
        <v>1.4519</v>
      </c>
      <c r="H98" s="21">
        <v>1.506</v>
      </c>
      <c r="I98" s="21"/>
      <c r="J98" s="98">
        <f t="shared" si="8"/>
        <v>5.4100000000000037E-2</v>
      </c>
      <c r="K98" s="21"/>
      <c r="L98" s="21"/>
      <c r="M98" s="21"/>
      <c r="N98" s="74"/>
      <c r="O98" s="74"/>
      <c r="P98" s="74"/>
      <c r="Q98" s="82"/>
    </row>
    <row r="99" spans="1:18" x14ac:dyDescent="0.35">
      <c r="A99" s="79">
        <v>6</v>
      </c>
      <c r="B99" s="88" t="s">
        <v>369</v>
      </c>
      <c r="C99" s="71">
        <v>60</v>
      </c>
      <c r="D99" s="71" t="s">
        <v>10</v>
      </c>
      <c r="E99" s="92">
        <v>46090</v>
      </c>
      <c r="F99" s="71" t="s">
        <v>159</v>
      </c>
      <c r="G99" s="73">
        <v>1.4429000000000001</v>
      </c>
      <c r="H99" s="73">
        <v>1.5103</v>
      </c>
      <c r="I99" s="73">
        <v>1.3338000000000001</v>
      </c>
      <c r="J99" s="94">
        <f>H99-G99</f>
        <v>6.7399999999999904E-2</v>
      </c>
      <c r="K99" s="73">
        <f>AVERAGE(J99:J103)</f>
        <v>6.8719999999999976E-2</v>
      </c>
      <c r="L99" s="73">
        <f>SUM(J100)</f>
        <v>6.4400000000000013E-2</v>
      </c>
      <c r="M99" s="73">
        <f>SUM(J102)</f>
        <v>7.1399999999999908E-2</v>
      </c>
      <c r="N99" s="73">
        <f>SUM(I99-G99)</f>
        <v>-0.10909999999999997</v>
      </c>
      <c r="O99" s="73">
        <f>AVERAGE(N99:N103)</f>
        <v>-0.10835999999999997</v>
      </c>
      <c r="P99" s="73">
        <v>-8.7400000000000005E-2</v>
      </c>
      <c r="Q99" s="80">
        <v>-0.13009999999999999</v>
      </c>
      <c r="R99" s="30"/>
    </row>
    <row r="100" spans="1:18" x14ac:dyDescent="0.35">
      <c r="A100" s="79">
        <v>6</v>
      </c>
      <c r="B100" s="88" t="s">
        <v>369</v>
      </c>
      <c r="C100" s="71">
        <v>60</v>
      </c>
      <c r="D100" s="71" t="s">
        <v>10</v>
      </c>
      <c r="E100" s="92">
        <v>46090</v>
      </c>
      <c r="F100" s="71" t="s">
        <v>160</v>
      </c>
      <c r="G100" s="73">
        <v>1.4427000000000001</v>
      </c>
      <c r="H100" s="73">
        <v>1.5071000000000001</v>
      </c>
      <c r="I100" s="73">
        <v>1.3126</v>
      </c>
      <c r="J100" s="94">
        <f t="shared" ref="J100:J108" si="9">H100-G100</f>
        <v>6.4400000000000013E-2</v>
      </c>
      <c r="K100" s="73"/>
      <c r="L100" s="73"/>
      <c r="M100" s="73"/>
      <c r="N100" s="73">
        <f>SUM(I100-G100)</f>
        <v>-0.1301000000000001</v>
      </c>
      <c r="O100" s="71"/>
      <c r="P100" s="71"/>
      <c r="Q100" s="81"/>
    </row>
    <row r="101" spans="1:18" x14ac:dyDescent="0.35">
      <c r="A101" s="79">
        <v>6</v>
      </c>
      <c r="B101" s="88" t="s">
        <v>369</v>
      </c>
      <c r="C101" s="71">
        <v>60</v>
      </c>
      <c r="D101" s="71" t="s">
        <v>10</v>
      </c>
      <c r="E101" s="92">
        <v>46090</v>
      </c>
      <c r="F101" s="71" t="s">
        <v>161</v>
      </c>
      <c r="G101" s="73">
        <v>1.4502999999999999</v>
      </c>
      <c r="H101" s="73">
        <v>1.5164</v>
      </c>
      <c r="I101" s="73">
        <v>1.3629</v>
      </c>
      <c r="J101" s="94">
        <f t="shared" si="9"/>
        <v>6.6100000000000048E-2</v>
      </c>
      <c r="K101" s="73"/>
      <c r="L101" s="73"/>
      <c r="M101" s="73"/>
      <c r="N101" s="73">
        <f>SUM(I101-G101)</f>
        <v>-8.7399999999999922E-2</v>
      </c>
      <c r="O101" s="71"/>
      <c r="P101" s="71"/>
      <c r="Q101" s="81"/>
    </row>
    <row r="102" spans="1:18" x14ac:dyDescent="0.35">
      <c r="A102" s="79">
        <v>6</v>
      </c>
      <c r="B102" s="88" t="s">
        <v>369</v>
      </c>
      <c r="C102" s="71">
        <v>60</v>
      </c>
      <c r="D102" s="71" t="s">
        <v>10</v>
      </c>
      <c r="E102" s="92">
        <v>46090</v>
      </c>
      <c r="F102" s="71" t="s">
        <v>162</v>
      </c>
      <c r="G102" s="73">
        <v>1.4452</v>
      </c>
      <c r="H102" s="73">
        <v>1.5165999999999999</v>
      </c>
      <c r="I102" s="73">
        <v>1.3238000000000001</v>
      </c>
      <c r="J102" s="94">
        <f t="shared" si="9"/>
        <v>7.1399999999999908E-2</v>
      </c>
      <c r="K102" s="73"/>
      <c r="L102" s="73"/>
      <c r="M102" s="73"/>
      <c r="N102" s="73">
        <f>SUM(I102-G102)</f>
        <v>-0.12139999999999995</v>
      </c>
      <c r="O102" s="71"/>
      <c r="P102" s="71"/>
      <c r="Q102" s="81"/>
    </row>
    <row r="103" spans="1:18" x14ac:dyDescent="0.35">
      <c r="A103" s="79">
        <v>6</v>
      </c>
      <c r="B103" s="88" t="s">
        <v>369</v>
      </c>
      <c r="C103" s="71">
        <v>60</v>
      </c>
      <c r="D103" s="71" t="s">
        <v>10</v>
      </c>
      <c r="E103" s="92">
        <v>46090</v>
      </c>
      <c r="F103" s="71" t="s">
        <v>163</v>
      </c>
      <c r="G103" s="73">
        <v>1.4457</v>
      </c>
      <c r="H103" s="73">
        <v>1.52</v>
      </c>
      <c r="I103" s="73">
        <v>1.3519000000000001</v>
      </c>
      <c r="J103" s="94">
        <f t="shared" si="9"/>
        <v>7.4300000000000033E-2</v>
      </c>
      <c r="K103" s="73"/>
      <c r="L103" s="73"/>
      <c r="M103" s="73"/>
      <c r="N103" s="73">
        <f>SUM(I103-G103)</f>
        <v>-9.3799999999999883E-2</v>
      </c>
      <c r="O103" s="71"/>
      <c r="P103" s="71"/>
      <c r="Q103" s="81"/>
    </row>
    <row r="104" spans="1:18" x14ac:dyDescent="0.35">
      <c r="A104" s="83">
        <v>6</v>
      </c>
      <c r="B104" s="90" t="s">
        <v>369</v>
      </c>
      <c r="C104" s="77">
        <v>60</v>
      </c>
      <c r="D104" s="77" t="s">
        <v>11</v>
      </c>
      <c r="E104" s="96">
        <v>46090</v>
      </c>
      <c r="F104" s="74" t="s">
        <v>164</v>
      </c>
      <c r="G104" s="21">
        <v>1.4461999999999999</v>
      </c>
      <c r="H104" s="21">
        <v>1.51</v>
      </c>
      <c r="I104" s="77"/>
      <c r="J104" s="98">
        <f t="shared" si="9"/>
        <v>6.3800000000000079E-2</v>
      </c>
      <c r="K104" s="76">
        <f>AVERAGE(J104:J108)</f>
        <v>6.7799999999999999E-2</v>
      </c>
      <c r="L104" s="21">
        <f>SUM(J104)</f>
        <v>6.3800000000000079E-2</v>
      </c>
      <c r="M104" s="21">
        <f>SUM(J108)</f>
        <v>6.4899999999999958E-2</v>
      </c>
      <c r="N104" s="74"/>
      <c r="O104" s="74"/>
      <c r="P104" s="74"/>
      <c r="Q104" s="82"/>
    </row>
    <row r="105" spans="1:18" x14ac:dyDescent="0.35">
      <c r="A105" s="83">
        <v>6</v>
      </c>
      <c r="B105" s="90" t="s">
        <v>369</v>
      </c>
      <c r="C105" s="77">
        <v>60</v>
      </c>
      <c r="D105" s="77" t="s">
        <v>11</v>
      </c>
      <c r="E105" s="96">
        <v>46090</v>
      </c>
      <c r="F105" s="74" t="s">
        <v>165</v>
      </c>
      <c r="G105" s="21">
        <v>1.4460999999999999</v>
      </c>
      <c r="H105" s="21">
        <v>1.5165999999999999</v>
      </c>
      <c r="I105" s="77"/>
      <c r="J105" s="98">
        <f t="shared" si="9"/>
        <v>7.0500000000000007E-2</v>
      </c>
      <c r="K105" s="77"/>
      <c r="L105" s="21"/>
      <c r="M105" s="21"/>
      <c r="N105" s="74"/>
      <c r="O105" s="74"/>
      <c r="P105" s="74"/>
      <c r="Q105" s="82"/>
    </row>
    <row r="106" spans="1:18" x14ac:dyDescent="0.35">
      <c r="A106" s="83">
        <v>6</v>
      </c>
      <c r="B106" s="90" t="s">
        <v>369</v>
      </c>
      <c r="C106" s="77">
        <v>60</v>
      </c>
      <c r="D106" s="77" t="s">
        <v>11</v>
      </c>
      <c r="E106" s="96">
        <v>46090</v>
      </c>
      <c r="F106" s="74" t="s">
        <v>166</v>
      </c>
      <c r="G106" s="21">
        <v>1.4468000000000001</v>
      </c>
      <c r="H106" s="21">
        <v>1.5182</v>
      </c>
      <c r="I106" s="77"/>
      <c r="J106" s="98">
        <f t="shared" si="9"/>
        <v>7.1399999999999908E-2</v>
      </c>
      <c r="K106" s="77"/>
      <c r="L106" s="21"/>
      <c r="M106" s="21"/>
      <c r="N106" s="74"/>
      <c r="O106" s="74"/>
      <c r="P106" s="74"/>
      <c r="Q106" s="82"/>
    </row>
    <row r="107" spans="1:18" x14ac:dyDescent="0.35">
      <c r="A107" s="83">
        <v>6</v>
      </c>
      <c r="B107" s="90" t="s">
        <v>369</v>
      </c>
      <c r="C107" s="77">
        <v>60</v>
      </c>
      <c r="D107" s="77" t="s">
        <v>11</v>
      </c>
      <c r="E107" s="96">
        <v>46090</v>
      </c>
      <c r="F107" s="74" t="s">
        <v>167</v>
      </c>
      <c r="G107" s="21">
        <v>1.4469000000000001</v>
      </c>
      <c r="H107" s="21">
        <v>1.5153000000000001</v>
      </c>
      <c r="I107" s="77"/>
      <c r="J107" s="98">
        <f t="shared" si="9"/>
        <v>6.8400000000000016E-2</v>
      </c>
      <c r="K107" s="77"/>
      <c r="L107" s="21"/>
      <c r="M107" s="21"/>
      <c r="N107" s="74"/>
      <c r="O107" s="74"/>
      <c r="P107" s="74"/>
      <c r="Q107" s="82"/>
    </row>
    <row r="108" spans="1:18" x14ac:dyDescent="0.35">
      <c r="A108" s="83">
        <v>6</v>
      </c>
      <c r="B108" s="90" t="s">
        <v>369</v>
      </c>
      <c r="C108" s="77">
        <v>60</v>
      </c>
      <c r="D108" s="77" t="s">
        <v>11</v>
      </c>
      <c r="E108" s="96">
        <v>46090</v>
      </c>
      <c r="F108" s="74" t="s">
        <v>168</v>
      </c>
      <c r="G108" s="21">
        <v>1.444</v>
      </c>
      <c r="H108" s="21">
        <v>1.5088999999999999</v>
      </c>
      <c r="I108" s="77"/>
      <c r="J108" s="98">
        <f t="shared" si="9"/>
        <v>6.4899999999999958E-2</v>
      </c>
      <c r="K108" s="77"/>
      <c r="L108" s="21"/>
      <c r="M108" s="21"/>
      <c r="N108" s="74"/>
      <c r="O108" s="74"/>
      <c r="P108" s="74"/>
      <c r="Q108" s="82"/>
    </row>
    <row r="109" spans="1:18" x14ac:dyDescent="0.35">
      <c r="A109" s="79">
        <v>9</v>
      </c>
      <c r="B109" s="88" t="s">
        <v>369</v>
      </c>
      <c r="C109" s="71">
        <v>60</v>
      </c>
      <c r="D109" s="71" t="s">
        <v>10</v>
      </c>
      <c r="E109" s="92">
        <v>46111</v>
      </c>
      <c r="F109" s="71" t="s">
        <v>438</v>
      </c>
      <c r="G109" s="73">
        <v>1.4498</v>
      </c>
      <c r="H109" s="73"/>
      <c r="I109" s="73"/>
      <c r="J109" s="71" t="str">
        <f>IF(OR(H109="",G109=""),"",H109-G109)</f>
        <v/>
      </c>
      <c r="K109" s="70" t="str">
        <f>IFERROR(AVERAGE(J109:J113),"")</f>
        <v/>
      </c>
      <c r="L109" s="73"/>
      <c r="M109" s="73"/>
      <c r="N109" s="73"/>
      <c r="O109" s="73"/>
      <c r="P109" s="73"/>
      <c r="Q109" s="80"/>
    </row>
    <row r="110" spans="1:18" x14ac:dyDescent="0.35">
      <c r="A110" s="79">
        <v>9</v>
      </c>
      <c r="B110" s="88" t="s">
        <v>369</v>
      </c>
      <c r="C110" s="71">
        <v>60</v>
      </c>
      <c r="D110" s="71" t="s">
        <v>10</v>
      </c>
      <c r="E110" s="92">
        <v>46111</v>
      </c>
      <c r="F110" s="71" t="s">
        <v>439</v>
      </c>
      <c r="G110" s="73">
        <v>1.4461999999999999</v>
      </c>
      <c r="H110" s="73"/>
      <c r="I110" s="73"/>
      <c r="J110" s="71" t="str">
        <f t="shared" ref="J110:J118" si="10">IF(OR(H110="",G110=""),"",H110-G110)</f>
        <v/>
      </c>
      <c r="K110" s="94"/>
      <c r="L110" s="73"/>
      <c r="M110" s="73"/>
      <c r="N110" s="73"/>
      <c r="O110" s="71"/>
      <c r="P110" s="71"/>
      <c r="Q110" s="81"/>
    </row>
    <row r="111" spans="1:18" x14ac:dyDescent="0.35">
      <c r="A111" s="79">
        <v>9</v>
      </c>
      <c r="B111" s="88" t="s">
        <v>369</v>
      </c>
      <c r="C111" s="71">
        <v>60</v>
      </c>
      <c r="D111" s="71" t="s">
        <v>10</v>
      </c>
      <c r="E111" s="92">
        <v>46111</v>
      </c>
      <c r="F111" s="71" t="s">
        <v>440</v>
      </c>
      <c r="G111" s="73">
        <v>1.4477</v>
      </c>
      <c r="H111" s="73"/>
      <c r="I111" s="73"/>
      <c r="J111" s="71" t="str">
        <f t="shared" si="10"/>
        <v/>
      </c>
      <c r="K111" s="94"/>
      <c r="L111" s="73"/>
      <c r="M111" s="73"/>
      <c r="N111" s="73"/>
      <c r="O111" s="71"/>
      <c r="P111" s="71"/>
      <c r="Q111" s="81"/>
    </row>
    <row r="112" spans="1:18" x14ac:dyDescent="0.35">
      <c r="A112" s="79">
        <v>9</v>
      </c>
      <c r="B112" s="88" t="s">
        <v>369</v>
      </c>
      <c r="C112" s="71">
        <v>60</v>
      </c>
      <c r="D112" s="71" t="s">
        <v>10</v>
      </c>
      <c r="E112" s="92">
        <v>46111</v>
      </c>
      <c r="F112" s="71" t="s">
        <v>441</v>
      </c>
      <c r="G112" s="73">
        <v>1.4426000000000001</v>
      </c>
      <c r="H112" s="73"/>
      <c r="I112" s="73"/>
      <c r="J112" s="71" t="str">
        <f t="shared" si="10"/>
        <v/>
      </c>
      <c r="K112" s="94"/>
      <c r="L112" s="73"/>
      <c r="M112" s="73"/>
      <c r="N112" s="73"/>
      <c r="O112" s="71"/>
      <c r="P112" s="71"/>
      <c r="Q112" s="81"/>
    </row>
    <row r="113" spans="1:17" x14ac:dyDescent="0.35">
      <c r="A113" s="79">
        <v>9</v>
      </c>
      <c r="B113" s="88" t="s">
        <v>369</v>
      </c>
      <c r="C113" s="71">
        <v>60</v>
      </c>
      <c r="D113" s="71" t="s">
        <v>10</v>
      </c>
      <c r="E113" s="92">
        <v>46111</v>
      </c>
      <c r="F113" s="71" t="s">
        <v>442</v>
      </c>
      <c r="G113" s="73">
        <v>1.4451000000000001</v>
      </c>
      <c r="H113" s="73"/>
      <c r="I113" s="73"/>
      <c r="J113" s="71" t="str">
        <f t="shared" si="10"/>
        <v/>
      </c>
      <c r="K113" s="94"/>
      <c r="L113" s="73"/>
      <c r="M113" s="73"/>
      <c r="N113" s="73"/>
      <c r="O113" s="71"/>
      <c r="P113" s="71"/>
      <c r="Q113" s="81"/>
    </row>
    <row r="114" spans="1:17" x14ac:dyDescent="0.35">
      <c r="A114" s="83">
        <v>9</v>
      </c>
      <c r="B114" s="90" t="s">
        <v>369</v>
      </c>
      <c r="C114" s="77">
        <v>60</v>
      </c>
      <c r="D114" s="74" t="s">
        <v>11</v>
      </c>
      <c r="E114" s="93">
        <v>46111</v>
      </c>
      <c r="F114" s="74" t="s">
        <v>443</v>
      </c>
      <c r="G114" s="21">
        <v>1.4440999999999999</v>
      </c>
      <c r="H114" s="21"/>
      <c r="I114" s="74"/>
      <c r="J114" s="77" t="str">
        <f t="shared" si="10"/>
        <v/>
      </c>
      <c r="K114" s="95" t="str">
        <f>IFERROR(AVERAGE(J114:J118),"")</f>
        <v/>
      </c>
      <c r="L114" s="21"/>
      <c r="M114" s="21"/>
      <c r="N114" s="74"/>
      <c r="O114" s="74"/>
      <c r="P114" s="74"/>
      <c r="Q114" s="82"/>
    </row>
    <row r="115" spans="1:17" x14ac:dyDescent="0.35">
      <c r="A115" s="83">
        <v>9</v>
      </c>
      <c r="B115" s="90" t="s">
        <v>369</v>
      </c>
      <c r="C115" s="77">
        <v>60</v>
      </c>
      <c r="D115" s="74" t="s">
        <v>11</v>
      </c>
      <c r="E115" s="93">
        <v>46111</v>
      </c>
      <c r="F115" s="74" t="s">
        <v>444</v>
      </c>
      <c r="G115" s="21">
        <v>1.4413</v>
      </c>
      <c r="H115" s="21"/>
      <c r="I115" s="74"/>
      <c r="J115" s="77" t="str">
        <f t="shared" si="10"/>
        <v/>
      </c>
      <c r="K115" s="89"/>
      <c r="L115" s="21"/>
      <c r="M115" s="21"/>
      <c r="N115" s="74"/>
      <c r="O115" s="74"/>
      <c r="P115" s="74"/>
      <c r="Q115" s="82"/>
    </row>
    <row r="116" spans="1:17" x14ac:dyDescent="0.35">
      <c r="A116" s="83">
        <v>9</v>
      </c>
      <c r="B116" s="90" t="s">
        <v>369</v>
      </c>
      <c r="C116" s="77">
        <v>60</v>
      </c>
      <c r="D116" s="74" t="s">
        <v>11</v>
      </c>
      <c r="E116" s="93">
        <v>46111</v>
      </c>
      <c r="F116" s="74" t="s">
        <v>445</v>
      </c>
      <c r="G116" s="21">
        <v>1.4411</v>
      </c>
      <c r="H116" s="21"/>
      <c r="I116" s="74"/>
      <c r="J116" s="77" t="str">
        <f t="shared" si="10"/>
        <v/>
      </c>
      <c r="K116" s="89"/>
      <c r="L116" s="21"/>
      <c r="M116" s="21"/>
      <c r="N116" s="74"/>
      <c r="O116" s="74"/>
      <c r="P116" s="74"/>
      <c r="Q116" s="82"/>
    </row>
    <row r="117" spans="1:17" x14ac:dyDescent="0.35">
      <c r="A117" s="83">
        <v>9</v>
      </c>
      <c r="B117" s="90" t="s">
        <v>369</v>
      </c>
      <c r="C117" s="77">
        <v>60</v>
      </c>
      <c r="D117" s="74" t="s">
        <v>11</v>
      </c>
      <c r="E117" s="93">
        <v>46111</v>
      </c>
      <c r="F117" s="74" t="s">
        <v>446</v>
      </c>
      <c r="G117" s="21">
        <v>1.444</v>
      </c>
      <c r="H117" s="21"/>
      <c r="I117" s="74"/>
      <c r="J117" s="77" t="str">
        <f t="shared" si="10"/>
        <v/>
      </c>
      <c r="K117" s="89"/>
      <c r="L117" s="21"/>
      <c r="M117" s="21"/>
      <c r="N117" s="74"/>
      <c r="O117" s="74"/>
      <c r="P117" s="74"/>
      <c r="Q117" s="82"/>
    </row>
    <row r="118" spans="1:17" x14ac:dyDescent="0.35">
      <c r="A118" s="83">
        <v>9</v>
      </c>
      <c r="B118" s="90" t="s">
        <v>369</v>
      </c>
      <c r="C118" s="77">
        <v>60</v>
      </c>
      <c r="D118" s="74" t="s">
        <v>11</v>
      </c>
      <c r="E118" s="93">
        <v>46111</v>
      </c>
      <c r="F118" s="74" t="s">
        <v>447</v>
      </c>
      <c r="G118" s="21">
        <v>1.4515</v>
      </c>
      <c r="H118" s="21"/>
      <c r="I118" s="74"/>
      <c r="J118" s="77" t="str">
        <f t="shared" si="10"/>
        <v/>
      </c>
      <c r="K118" s="89"/>
      <c r="L118" s="21"/>
      <c r="M118" s="21"/>
      <c r="N118" s="74"/>
      <c r="O118" s="74"/>
      <c r="P118" s="74"/>
      <c r="Q118" s="82"/>
    </row>
    <row r="119" spans="1:17" x14ac:dyDescent="0.35">
      <c r="A119" s="79">
        <v>12</v>
      </c>
      <c r="B119" s="88" t="s">
        <v>369</v>
      </c>
      <c r="C119" s="71">
        <v>60</v>
      </c>
      <c r="D119" s="71" t="s">
        <v>10</v>
      </c>
      <c r="E119" s="92">
        <v>46133</v>
      </c>
      <c r="F119" s="71" t="s">
        <v>390</v>
      </c>
      <c r="G119" s="73">
        <v>1.444</v>
      </c>
      <c r="H119" s="73">
        <v>1.3988</v>
      </c>
      <c r="I119" s="73">
        <v>1.1619999999999999</v>
      </c>
      <c r="J119" s="94">
        <f>SUM(H119-G119)</f>
        <v>-4.5199999999999907E-2</v>
      </c>
      <c r="K119" s="73">
        <f>AVERAGE(J119:J123)</f>
        <v>-5.0979999999999984E-2</v>
      </c>
      <c r="L119" s="73">
        <f>SUM(J122)</f>
        <v>-6.4899999999999958E-2</v>
      </c>
      <c r="M119" s="73">
        <f>SUM(J119)</f>
        <v>-4.5199999999999907E-2</v>
      </c>
      <c r="N119" s="73">
        <f>SUM(I119-G119)</f>
        <v>-0.28200000000000003</v>
      </c>
      <c r="O119" s="73">
        <f>AVERAGE(N119:N123)</f>
        <v>-0.27986</v>
      </c>
      <c r="P119" s="73">
        <f>SUM(N120)</f>
        <v>-0.27520000000000011</v>
      </c>
      <c r="Q119" s="80">
        <f>SUM(N122)</f>
        <v>-0.29039999999999999</v>
      </c>
    </row>
    <row r="120" spans="1:17" x14ac:dyDescent="0.35">
      <c r="A120" s="79">
        <v>12</v>
      </c>
      <c r="B120" s="88" t="s">
        <v>369</v>
      </c>
      <c r="C120" s="71">
        <v>60</v>
      </c>
      <c r="D120" s="71" t="s">
        <v>10</v>
      </c>
      <c r="E120" s="92">
        <v>46133</v>
      </c>
      <c r="F120" s="71" t="s">
        <v>391</v>
      </c>
      <c r="G120" s="73">
        <v>1.4446000000000001</v>
      </c>
      <c r="H120" s="73">
        <v>1.3995</v>
      </c>
      <c r="I120" s="73">
        <v>1.1694</v>
      </c>
      <c r="J120" s="94">
        <f t="shared" ref="J120:J128" si="11">SUM(H120-G120)</f>
        <v>-4.510000000000014E-2</v>
      </c>
      <c r="K120" s="71"/>
      <c r="L120" s="71"/>
      <c r="M120" s="71"/>
      <c r="N120" s="73">
        <f>SUM(I120-G120)</f>
        <v>-0.27520000000000011</v>
      </c>
      <c r="O120" s="71"/>
      <c r="P120" s="71"/>
      <c r="Q120" s="81"/>
    </row>
    <row r="121" spans="1:17" x14ac:dyDescent="0.35">
      <c r="A121" s="79">
        <v>12</v>
      </c>
      <c r="B121" s="88" t="s">
        <v>369</v>
      </c>
      <c r="C121" s="71">
        <v>60</v>
      </c>
      <c r="D121" s="71" t="s">
        <v>10</v>
      </c>
      <c r="E121" s="92">
        <v>46133</v>
      </c>
      <c r="F121" s="71" t="s">
        <v>392</v>
      </c>
      <c r="G121" s="73">
        <v>1.4444999999999999</v>
      </c>
      <c r="H121" s="73">
        <v>1.3995</v>
      </c>
      <c r="I121" s="73">
        <v>1.1687000000000001</v>
      </c>
      <c r="J121" s="94">
        <f t="shared" si="11"/>
        <v>-4.4999999999999929E-2</v>
      </c>
      <c r="K121" s="71"/>
      <c r="L121" s="71"/>
      <c r="M121" s="71"/>
      <c r="N121" s="73">
        <f>SUM(I121-G121)</f>
        <v>-0.27579999999999982</v>
      </c>
      <c r="O121" s="71"/>
      <c r="P121" s="71"/>
      <c r="Q121" s="81"/>
    </row>
    <row r="122" spans="1:17" x14ac:dyDescent="0.35">
      <c r="A122" s="79">
        <v>12</v>
      </c>
      <c r="B122" s="88" t="s">
        <v>369</v>
      </c>
      <c r="C122" s="71">
        <v>60</v>
      </c>
      <c r="D122" s="71" t="s">
        <v>10</v>
      </c>
      <c r="E122" s="92">
        <v>46133</v>
      </c>
      <c r="F122" s="71" t="s">
        <v>393</v>
      </c>
      <c r="G122" s="73">
        <v>1.4521999999999999</v>
      </c>
      <c r="H122" s="73">
        <v>1.3873</v>
      </c>
      <c r="I122" s="73">
        <v>1.1617999999999999</v>
      </c>
      <c r="J122" s="94">
        <f t="shared" si="11"/>
        <v>-6.4899999999999958E-2</v>
      </c>
      <c r="K122" s="71"/>
      <c r="L122" s="71"/>
      <c r="M122" s="71"/>
      <c r="N122" s="73">
        <f>SUM(I122-G122)</f>
        <v>-0.29039999999999999</v>
      </c>
      <c r="O122" s="71"/>
      <c r="P122" s="71"/>
      <c r="Q122" s="81"/>
    </row>
    <row r="123" spans="1:17" x14ac:dyDescent="0.35">
      <c r="A123" s="79">
        <v>12</v>
      </c>
      <c r="B123" s="88" t="s">
        <v>369</v>
      </c>
      <c r="C123" s="71">
        <v>60</v>
      </c>
      <c r="D123" s="71" t="s">
        <v>10</v>
      </c>
      <c r="E123" s="92">
        <v>46133</v>
      </c>
      <c r="F123" s="71" t="s">
        <v>394</v>
      </c>
      <c r="G123" s="73">
        <v>1.4477</v>
      </c>
      <c r="H123" s="73">
        <v>1.393</v>
      </c>
      <c r="I123" s="73">
        <v>1.1718</v>
      </c>
      <c r="J123" s="94">
        <f t="shared" si="11"/>
        <v>-5.4699999999999971E-2</v>
      </c>
      <c r="K123" s="71"/>
      <c r="L123" s="71"/>
      <c r="M123" s="71"/>
      <c r="N123" s="73">
        <f>SUM(I123-G123)</f>
        <v>-0.27590000000000003</v>
      </c>
      <c r="O123" s="71"/>
      <c r="P123" s="71"/>
      <c r="Q123" s="81"/>
    </row>
    <row r="124" spans="1:17" x14ac:dyDescent="0.35">
      <c r="A124" s="83">
        <v>12</v>
      </c>
      <c r="B124" s="90" t="s">
        <v>369</v>
      </c>
      <c r="C124" s="77">
        <v>60</v>
      </c>
      <c r="D124" s="74" t="s">
        <v>11</v>
      </c>
      <c r="E124" s="93">
        <v>46133</v>
      </c>
      <c r="F124" s="74" t="s">
        <v>395</v>
      </c>
      <c r="G124" s="21">
        <v>1.4438</v>
      </c>
      <c r="H124" s="21">
        <v>1.3973</v>
      </c>
      <c r="I124" s="74"/>
      <c r="J124" s="95">
        <f t="shared" si="11"/>
        <v>-4.6499999999999986E-2</v>
      </c>
      <c r="K124" s="21">
        <f>AVERAGE(J124:J128)</f>
        <v>-4.7459999999999926E-2</v>
      </c>
      <c r="L124" s="21">
        <f>SUM(J128)</f>
        <v>-4.5999999999999819E-2</v>
      </c>
      <c r="M124" s="21">
        <f>SUM(J124)</f>
        <v>-4.6499999999999986E-2</v>
      </c>
      <c r="N124" s="74"/>
      <c r="O124" s="74"/>
      <c r="P124" s="74"/>
      <c r="Q124" s="82"/>
    </row>
    <row r="125" spans="1:17" x14ac:dyDescent="0.35">
      <c r="A125" s="83">
        <v>12</v>
      </c>
      <c r="B125" s="90" t="s">
        <v>369</v>
      </c>
      <c r="C125" s="77">
        <v>60</v>
      </c>
      <c r="D125" s="74" t="s">
        <v>11</v>
      </c>
      <c r="E125" s="93">
        <v>46133</v>
      </c>
      <c r="F125" s="74" t="s">
        <v>396</v>
      </c>
      <c r="G125" s="21">
        <v>1.4460999999999999</v>
      </c>
      <c r="H125" s="21">
        <v>1.3964000000000001</v>
      </c>
      <c r="I125" s="74"/>
      <c r="J125" s="95">
        <f t="shared" si="11"/>
        <v>-4.9699999999999855E-2</v>
      </c>
      <c r="K125" s="74"/>
      <c r="L125" s="74"/>
      <c r="M125" s="74"/>
      <c r="N125" s="74"/>
      <c r="O125" s="74"/>
      <c r="P125" s="74"/>
      <c r="Q125" s="82"/>
    </row>
    <row r="126" spans="1:17" x14ac:dyDescent="0.35">
      <c r="A126" s="83">
        <v>12</v>
      </c>
      <c r="B126" s="90" t="s">
        <v>369</v>
      </c>
      <c r="C126" s="77">
        <v>60</v>
      </c>
      <c r="D126" s="74" t="s">
        <v>11</v>
      </c>
      <c r="E126" s="93">
        <v>46133</v>
      </c>
      <c r="F126" s="74" t="s">
        <v>397</v>
      </c>
      <c r="G126" s="21">
        <v>1.4452</v>
      </c>
      <c r="H126" s="21">
        <v>1.3982000000000001</v>
      </c>
      <c r="I126" s="74"/>
      <c r="J126" s="95">
        <f t="shared" si="11"/>
        <v>-4.6999999999999931E-2</v>
      </c>
      <c r="K126" s="74"/>
      <c r="L126" s="74"/>
      <c r="M126" s="74"/>
      <c r="N126" s="74"/>
      <c r="O126" s="74"/>
      <c r="P126" s="74"/>
      <c r="Q126" s="82"/>
    </row>
    <row r="127" spans="1:17" x14ac:dyDescent="0.35">
      <c r="A127" s="83">
        <v>12</v>
      </c>
      <c r="B127" s="90" t="s">
        <v>369</v>
      </c>
      <c r="C127" s="77">
        <v>60</v>
      </c>
      <c r="D127" s="74" t="s">
        <v>11</v>
      </c>
      <c r="E127" s="93">
        <v>46133</v>
      </c>
      <c r="F127" s="74" t="s">
        <v>398</v>
      </c>
      <c r="G127" s="21">
        <v>1.4488000000000001</v>
      </c>
      <c r="H127" s="21">
        <v>1.4007000000000001</v>
      </c>
      <c r="I127" s="74"/>
      <c r="J127" s="95">
        <f t="shared" si="11"/>
        <v>-4.8100000000000032E-2</v>
      </c>
      <c r="K127" s="74"/>
      <c r="L127" s="74"/>
      <c r="M127" s="74"/>
      <c r="N127" s="74"/>
      <c r="O127" s="74"/>
      <c r="P127" s="74"/>
      <c r="Q127" s="82"/>
    </row>
    <row r="128" spans="1:17" ht="15" thickBot="1" x14ac:dyDescent="0.4">
      <c r="A128" s="87">
        <v>12</v>
      </c>
      <c r="B128" s="91" t="s">
        <v>369</v>
      </c>
      <c r="C128" s="77">
        <v>60</v>
      </c>
      <c r="D128" s="84" t="s">
        <v>11</v>
      </c>
      <c r="E128" s="97">
        <v>46133</v>
      </c>
      <c r="F128" s="84" t="s">
        <v>399</v>
      </c>
      <c r="G128" s="23">
        <v>1.4424999999999999</v>
      </c>
      <c r="H128" s="23">
        <v>1.3965000000000001</v>
      </c>
      <c r="I128" s="84"/>
      <c r="J128" s="99">
        <f t="shared" si="11"/>
        <v>-4.5999999999999819E-2</v>
      </c>
      <c r="K128" s="84"/>
      <c r="L128" s="84"/>
      <c r="M128" s="84"/>
      <c r="N128" s="84"/>
      <c r="O128" s="84"/>
      <c r="P128" s="84"/>
      <c r="Q128" s="86"/>
    </row>
  </sheetData>
  <mergeCells count="20">
    <mergeCell ref="A6:Q6"/>
    <mergeCell ref="A47:Q47"/>
    <mergeCell ref="A88:Q88"/>
    <mergeCell ref="F4:F5"/>
    <mergeCell ref="K4:K5"/>
    <mergeCell ref="N4:N5"/>
    <mergeCell ref="O4:O5"/>
    <mergeCell ref="L4:L5"/>
    <mergeCell ref="M4:M5"/>
    <mergeCell ref="Q4:Q5"/>
    <mergeCell ref="J4:J5"/>
    <mergeCell ref="I4:I5"/>
    <mergeCell ref="H4:H5"/>
    <mergeCell ref="G4:G5"/>
    <mergeCell ref="P4:P5"/>
    <mergeCell ref="E4:E5"/>
    <mergeCell ref="D4:D5"/>
    <mergeCell ref="C4:C5"/>
    <mergeCell ref="B4:B5"/>
    <mergeCell ref="A4:A5"/>
  </mergeCells>
  <pageMargins left="0.7" right="0.7" top="0.75" bottom="0.75" header="0.3" footer="0.3"/>
  <ignoredErrors>
    <ignoredError sqref="J69"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B6DE-A730-4027-841F-5C1499E866C7}">
  <dimension ref="A1:M90"/>
  <sheetViews>
    <sheetView zoomScale="58" zoomScaleNormal="58" workbookViewId="0">
      <selection activeCell="Q17" sqref="Q17"/>
    </sheetView>
  </sheetViews>
  <sheetFormatPr baseColWidth="10" defaultRowHeight="14.5" x14ac:dyDescent="0.35"/>
  <sheetData>
    <row r="1" spans="1:13" ht="28.5" x14ac:dyDescent="0.65">
      <c r="A1" s="116" t="s">
        <v>560</v>
      </c>
    </row>
    <row r="2" spans="1:13" ht="26" x14ac:dyDescent="0.6">
      <c r="A2" s="121"/>
    </row>
    <row r="3" spans="1:13" x14ac:dyDescent="0.35">
      <c r="A3" s="182" t="s">
        <v>533</v>
      </c>
      <c r="B3" s="182"/>
      <c r="C3" s="182"/>
      <c r="D3" s="182"/>
      <c r="E3" s="182"/>
      <c r="F3" s="182"/>
      <c r="G3" s="182"/>
      <c r="H3" s="182"/>
      <c r="I3" s="182"/>
    </row>
    <row r="4" spans="1:13" x14ac:dyDescent="0.35">
      <c r="A4" s="182"/>
      <c r="B4" s="182"/>
      <c r="C4" s="182"/>
      <c r="D4" s="182"/>
      <c r="E4" s="182"/>
      <c r="F4" s="182"/>
      <c r="G4" s="182"/>
      <c r="H4" s="182"/>
      <c r="I4" s="182"/>
    </row>
    <row r="5" spans="1:13" x14ac:dyDescent="0.35">
      <c r="A5" s="129"/>
      <c r="B5" s="129"/>
      <c r="C5" s="129"/>
      <c r="D5" s="129"/>
      <c r="E5" s="129"/>
      <c r="F5" s="129"/>
      <c r="G5" s="129"/>
      <c r="H5" s="129"/>
    </row>
    <row r="6" spans="1:13" x14ac:dyDescent="0.35">
      <c r="A6" s="129"/>
      <c r="B6" s="129"/>
      <c r="C6" s="129"/>
      <c r="D6" s="129"/>
      <c r="E6" s="129"/>
      <c r="F6" s="129"/>
      <c r="G6" s="129"/>
      <c r="H6" s="129"/>
    </row>
    <row r="7" spans="1:13" ht="23.5" x14ac:dyDescent="0.55000000000000004">
      <c r="A7" s="127" t="s">
        <v>497</v>
      </c>
    </row>
    <row r="9" spans="1:13" ht="18.5" x14ac:dyDescent="0.45">
      <c r="A9" s="109" t="s">
        <v>500</v>
      </c>
    </row>
    <row r="10" spans="1:13" ht="18.5" x14ac:dyDescent="0.45">
      <c r="A10" s="128"/>
    </row>
    <row r="11" spans="1:13" ht="18.5" x14ac:dyDescent="0.45">
      <c r="B11" s="175" t="s">
        <v>485</v>
      </c>
      <c r="C11" s="175"/>
      <c r="D11" s="175" t="s">
        <v>486</v>
      </c>
      <c r="E11" s="175"/>
      <c r="F11" s="175" t="s">
        <v>487</v>
      </c>
      <c r="G11" s="175"/>
      <c r="K11" s="123"/>
      <c r="L11" s="123"/>
      <c r="M11" s="123"/>
    </row>
    <row r="12" spans="1:13" ht="18.5" x14ac:dyDescent="0.45">
      <c r="A12" s="133" t="s">
        <v>432</v>
      </c>
      <c r="B12" s="133" t="s">
        <v>10</v>
      </c>
      <c r="C12" s="133" t="s">
        <v>11</v>
      </c>
      <c r="D12" s="133" t="s">
        <v>10</v>
      </c>
      <c r="E12" s="133" t="s">
        <v>11</v>
      </c>
      <c r="F12" s="133" t="s">
        <v>10</v>
      </c>
      <c r="G12" s="133" t="s">
        <v>11</v>
      </c>
      <c r="J12" s="123"/>
      <c r="K12" s="123"/>
      <c r="L12" s="123"/>
      <c r="M12" s="123"/>
    </row>
    <row r="13" spans="1:13" x14ac:dyDescent="0.35">
      <c r="A13" s="114">
        <v>3</v>
      </c>
      <c r="B13" s="21">
        <v>2.9439999999999956E-2</v>
      </c>
      <c r="C13" s="21">
        <v>3.2320000000000036E-2</v>
      </c>
      <c r="D13" s="21">
        <v>3.9280000000000023E-2</v>
      </c>
      <c r="E13" s="21">
        <v>4.1200000000000035E-2</v>
      </c>
      <c r="F13" s="21">
        <v>6.1700000000000046E-2</v>
      </c>
      <c r="G13" s="21">
        <v>5.2819999999999999E-2</v>
      </c>
      <c r="J13" s="124"/>
      <c r="K13" s="30"/>
      <c r="L13" s="30"/>
      <c r="M13" s="30"/>
    </row>
    <row r="14" spans="1:13" x14ac:dyDescent="0.35">
      <c r="A14" s="114">
        <v>6</v>
      </c>
      <c r="B14" s="21">
        <v>3.9160000000000042E-2</v>
      </c>
      <c r="C14" s="21">
        <v>3.6939999999999931E-2</v>
      </c>
      <c r="D14" s="21">
        <v>5.0519999999999989E-2</v>
      </c>
      <c r="E14" s="21">
        <v>5.2520000000000032E-2</v>
      </c>
      <c r="F14" s="21">
        <v>6.8719999999999976E-2</v>
      </c>
      <c r="G14" s="21">
        <v>6.7799999999999999E-2</v>
      </c>
      <c r="J14" s="124"/>
      <c r="K14" s="30"/>
      <c r="L14" s="30"/>
      <c r="M14" s="30"/>
    </row>
    <row r="15" spans="1:13" x14ac:dyDescent="0.35">
      <c r="A15" s="114">
        <v>9</v>
      </c>
      <c r="B15" s="21">
        <v>4.8000000000000001E-2</v>
      </c>
      <c r="C15" s="74">
        <v>4.4700000000000004E-2</v>
      </c>
      <c r="D15" s="21">
        <v>0.1012</v>
      </c>
      <c r="E15" s="21">
        <v>6.6879999999999967E-2</v>
      </c>
      <c r="F15" s="74" t="e">
        <f>NA()</f>
        <v>#N/A</v>
      </c>
      <c r="G15" s="21" t="e">
        <f>NA()</f>
        <v>#N/A</v>
      </c>
      <c r="J15" s="124"/>
      <c r="K15" s="30"/>
      <c r="L15" s="30"/>
      <c r="M15" s="30"/>
    </row>
    <row r="16" spans="1:13" x14ac:dyDescent="0.35">
      <c r="A16" s="114">
        <v>12</v>
      </c>
      <c r="B16" s="21">
        <v>5.9959999999999972E-2</v>
      </c>
      <c r="C16" s="74">
        <v>5.2700000000000011E-2</v>
      </c>
      <c r="D16" s="21">
        <v>6.0740000000000016E-2</v>
      </c>
      <c r="E16" s="21">
        <v>6.1119999999999973E-2</v>
      </c>
      <c r="F16" s="21">
        <v>-5.0979999999999984E-2</v>
      </c>
      <c r="G16" s="21">
        <v>-4.7459999999999926E-2</v>
      </c>
      <c r="J16" s="124"/>
      <c r="K16" s="30"/>
      <c r="L16" s="30"/>
      <c r="M16" s="30"/>
    </row>
    <row r="18" spans="1:13" x14ac:dyDescent="0.35">
      <c r="A18" t="s">
        <v>518</v>
      </c>
    </row>
    <row r="21" spans="1:13" ht="18.5" x14ac:dyDescent="0.45">
      <c r="A21" s="109" t="s">
        <v>499</v>
      </c>
    </row>
    <row r="23" spans="1:13" ht="18.5" x14ac:dyDescent="0.45">
      <c r="B23" s="180" t="s">
        <v>485</v>
      </c>
      <c r="C23" s="178"/>
      <c r="D23" s="178"/>
      <c r="E23" s="179"/>
      <c r="F23" s="180" t="s">
        <v>486</v>
      </c>
      <c r="G23" s="178"/>
      <c r="H23" s="178"/>
      <c r="I23" s="179"/>
      <c r="J23" s="180" t="s">
        <v>487</v>
      </c>
      <c r="K23" s="178"/>
      <c r="L23" s="178"/>
      <c r="M23" s="179"/>
    </row>
    <row r="24" spans="1:13" ht="18.5" x14ac:dyDescent="0.45">
      <c r="B24" s="176" t="s">
        <v>10</v>
      </c>
      <c r="C24" s="177"/>
      <c r="D24" s="176" t="s">
        <v>11</v>
      </c>
      <c r="E24" s="177"/>
      <c r="F24" s="176" t="s">
        <v>10</v>
      </c>
      <c r="G24" s="177"/>
      <c r="H24" s="176" t="s">
        <v>11</v>
      </c>
      <c r="I24" s="177"/>
      <c r="J24" s="176" t="s">
        <v>10</v>
      </c>
      <c r="K24" s="177"/>
      <c r="L24" s="176" t="s">
        <v>11</v>
      </c>
      <c r="M24" s="177"/>
    </row>
    <row r="25" spans="1:13" ht="18.5" x14ac:dyDescent="0.45">
      <c r="A25" s="133" t="s">
        <v>432</v>
      </c>
      <c r="B25" s="133" t="s">
        <v>488</v>
      </c>
      <c r="C25" s="133" t="s">
        <v>434</v>
      </c>
      <c r="D25" s="133" t="s">
        <v>488</v>
      </c>
      <c r="E25" s="133" t="s">
        <v>434</v>
      </c>
      <c r="F25" s="133" t="s">
        <v>488</v>
      </c>
      <c r="G25" s="133" t="s">
        <v>434</v>
      </c>
      <c r="H25" s="133" t="s">
        <v>488</v>
      </c>
      <c r="I25" s="133" t="s">
        <v>434</v>
      </c>
      <c r="J25" s="133" t="s">
        <v>488</v>
      </c>
      <c r="K25" s="133" t="s">
        <v>434</v>
      </c>
      <c r="L25" s="133" t="s">
        <v>488</v>
      </c>
      <c r="M25" s="133" t="s">
        <v>434</v>
      </c>
    </row>
    <row r="26" spans="1:13" x14ac:dyDescent="0.35">
      <c r="A26" s="114">
        <v>3</v>
      </c>
      <c r="B26" s="21">
        <v>3.6499999999999977E-2</v>
      </c>
      <c r="C26" s="21">
        <v>2.3299999999999876E-2</v>
      </c>
      <c r="D26" s="21">
        <v>4.0999999999999925E-2</v>
      </c>
      <c r="E26" s="21">
        <v>2.7200000000000113E-2</v>
      </c>
      <c r="F26" s="21">
        <v>4.4499999999999984E-2</v>
      </c>
      <c r="G26" s="21">
        <v>4.3300000000000116E-2</v>
      </c>
      <c r="H26" s="21">
        <v>4.3100000000000138E-2</v>
      </c>
      <c r="I26" s="74">
        <v>3.3099999999999907E-2</v>
      </c>
      <c r="J26" s="21">
        <v>6.1400000000000121E-2</v>
      </c>
      <c r="K26" s="21">
        <v>6.2900000000000178E-2</v>
      </c>
      <c r="L26" s="21">
        <v>5.4100000000000037E-2</v>
      </c>
      <c r="M26" s="21">
        <v>4.2000000000000037E-2</v>
      </c>
    </row>
    <row r="27" spans="1:13" x14ac:dyDescent="0.35">
      <c r="A27" s="114">
        <v>6</v>
      </c>
      <c r="B27" s="74">
        <v>4.0799999999999947E-2</v>
      </c>
      <c r="C27" s="74">
        <v>3.6500000000000199E-2</v>
      </c>
      <c r="D27" s="74">
        <v>4.1399999999999881E-2</v>
      </c>
      <c r="E27" s="21">
        <v>2.8999999999999915E-2</v>
      </c>
      <c r="F27" s="21">
        <v>4.5700000000000074E-2</v>
      </c>
      <c r="G27" s="74">
        <v>6.1700000000000088E-2</v>
      </c>
      <c r="H27" s="74">
        <v>7.0799999999999974E-2</v>
      </c>
      <c r="I27" s="74">
        <v>5.5400000000000116E-2</v>
      </c>
      <c r="J27" s="74">
        <v>6.4400000000000013E-2</v>
      </c>
      <c r="K27" s="74">
        <v>7.1399999999999908E-2</v>
      </c>
      <c r="L27" s="74">
        <v>6.3800000000000079E-2</v>
      </c>
      <c r="M27" s="21">
        <v>6.4899999999999958E-2</v>
      </c>
    </row>
    <row r="28" spans="1:13" x14ac:dyDescent="0.35">
      <c r="A28" s="114">
        <v>9</v>
      </c>
      <c r="B28">
        <v>7.7300000000000146E-2</v>
      </c>
      <c r="C28" s="74">
        <v>3.0899999999999928E-2</v>
      </c>
      <c r="D28" s="21">
        <v>5.9499999999999886E-2</v>
      </c>
      <c r="E28" s="21">
        <v>3.6000000000000032E-2</v>
      </c>
      <c r="F28" s="74">
        <v>4.5200000000000129E-2</v>
      </c>
      <c r="G28" s="74">
        <v>8.9400000000000146E-2</v>
      </c>
      <c r="H28" s="74">
        <v>6.4300000000000024E-2</v>
      </c>
      <c r="I28" s="74">
        <v>5.3499999999999881E-2</v>
      </c>
      <c r="J28" s="74" t="e">
        <f>NA()</f>
        <v>#N/A</v>
      </c>
      <c r="K28" s="74" t="e">
        <f>NA()</f>
        <v>#N/A</v>
      </c>
      <c r="L28" s="74" t="e">
        <f>NA()</f>
        <v>#N/A</v>
      </c>
      <c r="M28" s="74" t="e">
        <f>NA()</f>
        <v>#N/A</v>
      </c>
    </row>
    <row r="29" spans="1:13" x14ac:dyDescent="0.35">
      <c r="A29" s="114">
        <v>12</v>
      </c>
      <c r="B29" s="74">
        <v>6.2999999999999945E-2</v>
      </c>
      <c r="C29" s="74">
        <v>5.2799999999999958E-2</v>
      </c>
      <c r="D29" s="21">
        <v>5.6699999999999973E-2</v>
      </c>
      <c r="E29" s="74">
        <v>5.04E-2</v>
      </c>
      <c r="F29" s="74">
        <v>6.1700000000000088E-2</v>
      </c>
      <c r="G29" s="74">
        <v>5.9399999999999897E-2</v>
      </c>
      <c r="H29" s="21">
        <v>6.6100000000000048E-2</v>
      </c>
      <c r="I29" s="21">
        <v>4.8999999999999932E-2</v>
      </c>
      <c r="J29" s="74">
        <v>-6.4899999999999958E-2</v>
      </c>
      <c r="K29" s="74">
        <v>-4.5199999999999907E-2</v>
      </c>
      <c r="L29" s="21">
        <v>-4.5999999999999819E-2</v>
      </c>
      <c r="M29" s="21">
        <v>-4.6499999999999986E-2</v>
      </c>
    </row>
    <row r="31" spans="1:13" x14ac:dyDescent="0.35">
      <c r="A31" s="174" t="s">
        <v>519</v>
      </c>
      <c r="B31" s="174"/>
      <c r="C31" s="174"/>
      <c r="D31" s="174"/>
      <c r="E31" s="174"/>
      <c r="F31" s="174"/>
      <c r="G31" s="174"/>
      <c r="H31" s="174"/>
      <c r="I31" s="174"/>
      <c r="J31" s="174"/>
      <c r="K31" s="174"/>
      <c r="L31" s="174"/>
      <c r="M31" s="174"/>
    </row>
    <row r="32" spans="1:13" x14ac:dyDescent="0.35">
      <c r="A32" s="174"/>
      <c r="B32" s="174"/>
      <c r="C32" s="174"/>
      <c r="D32" s="174"/>
      <c r="E32" s="174"/>
      <c r="F32" s="174"/>
      <c r="G32" s="174"/>
      <c r="H32" s="174"/>
      <c r="I32" s="174"/>
      <c r="J32" s="174"/>
      <c r="K32" s="174"/>
      <c r="L32" s="174"/>
      <c r="M32" s="174"/>
    </row>
    <row r="35" spans="1:13" ht="18.5" x14ac:dyDescent="0.45">
      <c r="A35" s="109" t="s">
        <v>508</v>
      </c>
    </row>
    <row r="36" spans="1:13" ht="21" x14ac:dyDescent="0.5">
      <c r="A36" s="115"/>
    </row>
    <row r="37" spans="1:13" ht="18.5" x14ac:dyDescent="0.45">
      <c r="A37" s="126"/>
      <c r="B37" s="178" t="s">
        <v>485</v>
      </c>
      <c r="C37" s="178"/>
      <c r="D37" s="178"/>
      <c r="E37" s="179"/>
      <c r="F37" s="180" t="s">
        <v>486</v>
      </c>
      <c r="G37" s="178"/>
      <c r="H37" s="178"/>
      <c r="I37" s="179"/>
      <c r="J37" s="180" t="s">
        <v>487</v>
      </c>
      <c r="K37" s="178"/>
      <c r="L37" s="178"/>
      <c r="M37" s="179"/>
    </row>
    <row r="38" spans="1:13" ht="18.5" x14ac:dyDescent="0.45">
      <c r="A38" s="138"/>
      <c r="B38" s="181" t="s">
        <v>10</v>
      </c>
      <c r="C38" s="177"/>
      <c r="D38" s="176" t="s">
        <v>11</v>
      </c>
      <c r="E38" s="177"/>
      <c r="F38" s="176" t="s">
        <v>10</v>
      </c>
      <c r="G38" s="177"/>
      <c r="H38" s="176" t="s">
        <v>11</v>
      </c>
      <c r="I38" s="177"/>
      <c r="J38" s="176" t="s">
        <v>10</v>
      </c>
      <c r="K38" s="177"/>
      <c r="L38" s="176" t="s">
        <v>11</v>
      </c>
      <c r="M38" s="177"/>
    </row>
    <row r="39" spans="1:13" ht="30" x14ac:dyDescent="0.45">
      <c r="A39" s="136" t="s">
        <v>432</v>
      </c>
      <c r="B39" s="134" t="s">
        <v>510</v>
      </c>
      <c r="C39" s="134" t="s">
        <v>511</v>
      </c>
      <c r="D39" s="134" t="s">
        <v>510</v>
      </c>
      <c r="E39" s="134" t="s">
        <v>511</v>
      </c>
      <c r="F39" s="134" t="s">
        <v>510</v>
      </c>
      <c r="G39" s="134" t="s">
        <v>511</v>
      </c>
      <c r="H39" s="134" t="s">
        <v>510</v>
      </c>
      <c r="I39" s="134" t="s">
        <v>511</v>
      </c>
      <c r="J39" s="134" t="s">
        <v>510</v>
      </c>
      <c r="K39" s="134" t="s">
        <v>511</v>
      </c>
      <c r="L39" s="134" t="s">
        <v>510</v>
      </c>
      <c r="M39" s="134" t="s">
        <v>511</v>
      </c>
    </row>
    <row r="40" spans="1:13" x14ac:dyDescent="0.35">
      <c r="A40" s="114">
        <v>3</v>
      </c>
      <c r="B40" s="21">
        <f>SUM(B26-B13)</f>
        <v>7.0600000000000211E-3</v>
      </c>
      <c r="C40" s="21">
        <f>SUM(B13-C26)</f>
        <v>6.1400000000000794E-3</v>
      </c>
      <c r="D40" s="21">
        <f>SUM(D26-C13)</f>
        <v>8.6799999999998892E-3</v>
      </c>
      <c r="E40" s="21">
        <f>SUM(C13-E26)</f>
        <v>5.1199999999999232E-3</v>
      </c>
      <c r="F40" s="21">
        <f>SUM(F26-D13)</f>
        <v>5.2199999999999608E-3</v>
      </c>
      <c r="G40" s="21">
        <f>G26-D13</f>
        <v>4.0200000000000929E-3</v>
      </c>
      <c r="H40" s="21">
        <f>SUM(H26-E13)</f>
        <v>1.900000000000103E-3</v>
      </c>
      <c r="I40" s="21">
        <f>SUM(E13-I26)</f>
        <v>8.1000000000001279E-3</v>
      </c>
      <c r="J40" s="21">
        <f>F13-J26</f>
        <v>2.9999999999992533E-4</v>
      </c>
      <c r="K40" s="21">
        <f>K26-F13</f>
        <v>1.2000000000001315E-3</v>
      </c>
      <c r="L40" s="21">
        <f>SUM(L26-G13)</f>
        <v>1.2800000000000381E-3</v>
      </c>
      <c r="M40" s="21">
        <f>SUM(G13-M26)</f>
        <v>1.0819999999999962E-2</v>
      </c>
    </row>
    <row r="41" spans="1:13" x14ac:dyDescent="0.35">
      <c r="A41" s="114">
        <v>6</v>
      </c>
      <c r="B41" s="21">
        <f>SUM(B27-B14)</f>
        <v>1.6399999999999054E-3</v>
      </c>
      <c r="C41" s="21">
        <f>SUM(B14-C27)</f>
        <v>2.659999999999843E-3</v>
      </c>
      <c r="D41" s="21">
        <f>SUM(D27-C14)</f>
        <v>4.4599999999999501E-3</v>
      </c>
      <c r="E41" s="21">
        <f>SUM(C14-E27)</f>
        <v>7.9400000000000165E-3</v>
      </c>
      <c r="F41" s="21">
        <f>D14-F27</f>
        <v>4.8199999999999146E-3</v>
      </c>
      <c r="G41" s="21">
        <f>G27-D14</f>
        <v>1.11800000000001E-2</v>
      </c>
      <c r="H41" s="21">
        <f>SUM(H27-E14)</f>
        <v>1.8279999999999942E-2</v>
      </c>
      <c r="I41" s="21">
        <f>I27-E14</f>
        <v>2.8800000000000839E-3</v>
      </c>
      <c r="J41" s="21">
        <f>F14-J27</f>
        <v>4.3199999999999628E-3</v>
      </c>
      <c r="K41" s="21">
        <f>K27-F14</f>
        <v>2.6799999999999324E-3</v>
      </c>
      <c r="L41" s="21">
        <f>G14-L27</f>
        <v>3.9999999999999203E-3</v>
      </c>
      <c r="M41" s="21">
        <f>SUM(G14-M27)</f>
        <v>2.9000000000000414E-3</v>
      </c>
    </row>
    <row r="42" spans="1:13" x14ac:dyDescent="0.35">
      <c r="A42" s="114">
        <v>9</v>
      </c>
      <c r="B42" s="21">
        <f>SUM(B28-B15)</f>
        <v>2.9300000000000145E-2</v>
      </c>
      <c r="C42" s="21">
        <f>SUM(B15-C28)</f>
        <v>1.7100000000000073E-2</v>
      </c>
      <c r="D42" s="21">
        <f>SUM(D28-C15)</f>
        <v>1.4799999999999883E-2</v>
      </c>
      <c r="E42" s="21">
        <f>SUM(C15-E28)</f>
        <v>8.6999999999999716E-3</v>
      </c>
      <c r="F42" s="21">
        <f>D15-F28</f>
        <v>5.5999999999999869E-2</v>
      </c>
      <c r="G42" s="21">
        <f>SUM(D15-G28)</f>
        <v>1.1799999999999852E-2</v>
      </c>
      <c r="H42" s="21">
        <f>E15-H28</f>
        <v>2.5799999999999434E-3</v>
      </c>
      <c r="I42" s="21">
        <f>SUM(E15-I28)</f>
        <v>1.3380000000000086E-2</v>
      </c>
      <c r="J42" s="21" t="e">
        <f>SUM(J28-F15)</f>
        <v>#N/A</v>
      </c>
      <c r="K42" s="21" t="e">
        <f>SUM(F15-K28)</f>
        <v>#N/A</v>
      </c>
      <c r="L42" s="21" t="e">
        <f>SUM(L28-G15)</f>
        <v>#N/A</v>
      </c>
      <c r="M42" s="21" t="e">
        <f>SUM(G15-M28)</f>
        <v>#N/A</v>
      </c>
    </row>
    <row r="43" spans="1:13" x14ac:dyDescent="0.35">
      <c r="A43" s="114">
        <v>12</v>
      </c>
      <c r="B43" s="21">
        <f>SUM(B29-B16)</f>
        <v>3.0399999999999733E-3</v>
      </c>
      <c r="C43" s="21">
        <f>SUM(B16-C29)</f>
        <v>7.1600000000000136E-3</v>
      </c>
      <c r="D43" s="21">
        <f>SUM(D29-C16)</f>
        <v>3.9999999999999619E-3</v>
      </c>
      <c r="E43" s="21">
        <f>SUM(C16-E29)</f>
        <v>2.3000000000000104E-3</v>
      </c>
      <c r="F43" s="21">
        <f>SUM(F29-D16)</f>
        <v>9.6000000000007191E-4</v>
      </c>
      <c r="G43" s="21">
        <f>SUM(D16-G29)</f>
        <v>1.3400000000001189E-3</v>
      </c>
      <c r="H43" s="21">
        <f>SUM(H29-E16)</f>
        <v>4.9800000000000746E-3</v>
      </c>
      <c r="I43" s="21">
        <f>SUM(E16-I29)</f>
        <v>1.212000000000004E-2</v>
      </c>
      <c r="J43" s="21">
        <f>F16-J29</f>
        <v>1.3919999999999974E-2</v>
      </c>
      <c r="K43" s="21">
        <f>K29-F16</f>
        <v>5.7800000000000767E-3</v>
      </c>
      <c r="L43" s="21">
        <f>SUM(L29-G16)</f>
        <v>1.460000000000107E-3</v>
      </c>
      <c r="M43" s="21">
        <f>M29-G16</f>
        <v>9.5999999999994007E-4</v>
      </c>
    </row>
    <row r="45" spans="1:13" x14ac:dyDescent="0.35">
      <c r="A45" s="174" t="s">
        <v>520</v>
      </c>
      <c r="B45" s="174"/>
      <c r="C45" s="174"/>
      <c r="D45" s="174"/>
      <c r="E45" s="174"/>
      <c r="F45" s="174"/>
      <c r="G45" s="174"/>
      <c r="H45" s="174"/>
      <c r="I45" s="174"/>
      <c r="J45" s="174"/>
      <c r="K45" s="174"/>
      <c r="L45" s="174"/>
      <c r="M45" s="174"/>
    </row>
    <row r="46" spans="1:13" x14ac:dyDescent="0.35">
      <c r="A46" s="174"/>
      <c r="B46" s="174"/>
      <c r="C46" s="174"/>
      <c r="D46" s="174"/>
      <c r="E46" s="174"/>
      <c r="F46" s="174"/>
      <c r="G46" s="174"/>
      <c r="H46" s="174"/>
      <c r="I46" s="174"/>
      <c r="J46" s="174"/>
      <c r="K46" s="174"/>
      <c r="L46" s="174"/>
      <c r="M46" s="174"/>
    </row>
    <row r="47" spans="1:13" x14ac:dyDescent="0.35">
      <c r="A47" s="131"/>
      <c r="B47" s="131"/>
      <c r="C47" s="131"/>
      <c r="D47" s="131"/>
      <c r="E47" s="131"/>
      <c r="F47" s="131"/>
      <c r="G47" s="131"/>
      <c r="H47" s="131"/>
      <c r="I47" s="131"/>
    </row>
    <row r="50" spans="1:5" ht="23.5" x14ac:dyDescent="0.55000000000000004">
      <c r="A50" s="127" t="s">
        <v>503</v>
      </c>
    </row>
    <row r="52" spans="1:5" ht="18.5" x14ac:dyDescent="0.45">
      <c r="A52" s="109" t="s">
        <v>504</v>
      </c>
    </row>
    <row r="53" spans="1:5" ht="21" x14ac:dyDescent="0.5">
      <c r="A53" s="115"/>
    </row>
    <row r="54" spans="1:5" ht="18.5" x14ac:dyDescent="0.45">
      <c r="B54" s="132" t="s">
        <v>485</v>
      </c>
      <c r="C54" s="132" t="s">
        <v>486</v>
      </c>
      <c r="D54" s="132" t="s">
        <v>496</v>
      </c>
    </row>
    <row r="55" spans="1:5" ht="18.5" x14ac:dyDescent="0.45">
      <c r="A55" s="133" t="s">
        <v>432</v>
      </c>
      <c r="B55" s="133" t="s">
        <v>10</v>
      </c>
      <c r="C55" s="133" t="s">
        <v>10</v>
      </c>
      <c r="D55" s="133" t="s">
        <v>10</v>
      </c>
    </row>
    <row r="56" spans="1:5" x14ac:dyDescent="0.35">
      <c r="A56" s="114">
        <v>3</v>
      </c>
      <c r="B56" s="21">
        <v>4.760000000000009E-3</v>
      </c>
      <c r="C56" s="21">
        <v>8.8000000000000005E-3</v>
      </c>
      <c r="D56" s="21">
        <v>1.3599999999999999E-2</v>
      </c>
    </row>
    <row r="57" spans="1:5" x14ac:dyDescent="0.35">
      <c r="A57" s="114">
        <v>6</v>
      </c>
      <c r="B57" s="21">
        <v>6.0000000000000053E-3</v>
      </c>
      <c r="C57" s="21">
        <v>7.0000000000000001E-3</v>
      </c>
      <c r="D57" s="21">
        <v>-0.1084</v>
      </c>
    </row>
    <row r="58" spans="1:5" x14ac:dyDescent="0.35">
      <c r="A58" s="114">
        <v>9</v>
      </c>
      <c r="B58" s="21">
        <v>5.5999999999999999E-3</v>
      </c>
      <c r="C58" s="21">
        <v>8.5000000000000006E-3</v>
      </c>
      <c r="D58" s="21" t="e">
        <f>NA()</f>
        <v>#N/A</v>
      </c>
    </row>
    <row r="59" spans="1:5" x14ac:dyDescent="0.35">
      <c r="A59" s="114">
        <v>12</v>
      </c>
      <c r="B59" s="21">
        <v>9.4999999999999998E-3</v>
      </c>
      <c r="C59" s="21">
        <v>9.4999999999999998E-3</v>
      </c>
      <c r="D59" s="21">
        <v>-0.29039999999999999</v>
      </c>
    </row>
    <row r="61" spans="1:5" x14ac:dyDescent="0.35">
      <c r="A61" s="174" t="s">
        <v>518</v>
      </c>
      <c r="B61" s="174"/>
      <c r="C61" s="174"/>
      <c r="D61" s="174"/>
      <c r="E61" s="174"/>
    </row>
    <row r="62" spans="1:5" x14ac:dyDescent="0.35">
      <c r="A62" s="174"/>
      <c r="B62" s="174"/>
      <c r="C62" s="174"/>
      <c r="D62" s="174"/>
      <c r="E62" s="174"/>
    </row>
    <row r="63" spans="1:5" x14ac:dyDescent="0.35">
      <c r="A63" s="130"/>
      <c r="B63" s="130"/>
      <c r="C63" s="130"/>
      <c r="D63" s="130"/>
    </row>
    <row r="65" spans="1:9" ht="18.5" x14ac:dyDescent="0.45">
      <c r="A65" s="109" t="s">
        <v>517</v>
      </c>
    </row>
    <row r="66" spans="1:9" ht="21" x14ac:dyDescent="0.5">
      <c r="A66" s="115"/>
    </row>
    <row r="67" spans="1:9" ht="18.5" x14ac:dyDescent="0.45">
      <c r="B67" s="175" t="s">
        <v>485</v>
      </c>
      <c r="C67" s="175"/>
      <c r="D67" s="175" t="s">
        <v>486</v>
      </c>
      <c r="E67" s="175"/>
      <c r="F67" s="175" t="s">
        <v>487</v>
      </c>
      <c r="G67" s="175"/>
    </row>
    <row r="68" spans="1:9" ht="18.5" x14ac:dyDescent="0.45">
      <c r="A68" s="133" t="s">
        <v>432</v>
      </c>
      <c r="B68" s="133" t="s">
        <v>488</v>
      </c>
      <c r="C68" s="133" t="s">
        <v>434</v>
      </c>
      <c r="D68" s="133" t="s">
        <v>488</v>
      </c>
      <c r="E68" s="133" t="s">
        <v>434</v>
      </c>
      <c r="F68" s="133" t="s">
        <v>488</v>
      </c>
      <c r="G68" s="133" t="s">
        <v>434</v>
      </c>
    </row>
    <row r="69" spans="1:9" x14ac:dyDescent="0.35">
      <c r="A69" s="114">
        <v>3</v>
      </c>
      <c r="B69" s="21">
        <v>7.7999999999999996E-3</v>
      </c>
      <c r="C69" s="125">
        <v>2.8E-3</v>
      </c>
      <c r="D69" s="74">
        <v>1.2200000000000001E-2</v>
      </c>
      <c r="E69" s="74">
        <v>6.8999999999999999E-3</v>
      </c>
      <c r="F69" s="21">
        <v>1.7299999999999999E-2</v>
      </c>
      <c r="G69" s="125">
        <v>9.7000000000000003E-3</v>
      </c>
    </row>
    <row r="70" spans="1:9" x14ac:dyDescent="0.35">
      <c r="A70" s="114">
        <v>6</v>
      </c>
      <c r="B70" s="21">
        <v>7.3000000000000001E-3</v>
      </c>
      <c r="C70" s="21">
        <v>4.1999999999999997E-3</v>
      </c>
      <c r="D70" s="21">
        <v>1.0200000000000001E-2</v>
      </c>
      <c r="E70" s="74">
        <v>4.5999999999999999E-3</v>
      </c>
      <c r="F70" s="21">
        <v>-8.7400000000000005E-2</v>
      </c>
      <c r="G70" s="21">
        <v>-0.13009999999999999</v>
      </c>
    </row>
    <row r="71" spans="1:9" x14ac:dyDescent="0.35">
      <c r="A71" s="114">
        <v>9</v>
      </c>
      <c r="B71" s="21">
        <v>6.3E-3</v>
      </c>
      <c r="C71" s="21">
        <v>4.5999999999999999E-3</v>
      </c>
      <c r="D71" s="74">
        <v>1.15E-2</v>
      </c>
      <c r="E71" s="21">
        <v>4.4000000000000003E-3</v>
      </c>
      <c r="F71" s="21" t="e">
        <v>#N/A</v>
      </c>
      <c r="G71" s="74" t="e">
        <v>#N/A</v>
      </c>
    </row>
    <row r="72" spans="1:9" x14ac:dyDescent="0.35">
      <c r="A72" s="114">
        <v>12</v>
      </c>
      <c r="B72" s="21">
        <v>1.38E-2</v>
      </c>
      <c r="C72" s="74">
        <v>7.7999999999999996E-3</v>
      </c>
      <c r="D72" s="21">
        <v>1.11E-2</v>
      </c>
      <c r="E72" s="74">
        <v>8.8000000000000005E-3</v>
      </c>
      <c r="F72" s="21">
        <v>-0.27520000000000011</v>
      </c>
      <c r="G72" s="74">
        <v>-0.29039999999999999</v>
      </c>
    </row>
    <row r="74" spans="1:9" x14ac:dyDescent="0.35">
      <c r="A74" s="174" t="s">
        <v>519</v>
      </c>
      <c r="B74" s="174"/>
      <c r="C74" s="174"/>
      <c r="D74" s="174"/>
      <c r="E74" s="174"/>
      <c r="F74" s="174"/>
      <c r="G74" s="174"/>
      <c r="H74" s="130"/>
      <c r="I74" s="130"/>
    </row>
    <row r="75" spans="1:9" x14ac:dyDescent="0.35">
      <c r="A75" s="174"/>
      <c r="B75" s="174"/>
      <c r="C75" s="174"/>
      <c r="D75" s="174"/>
      <c r="E75" s="174"/>
      <c r="F75" s="174"/>
      <c r="G75" s="174"/>
      <c r="H75" s="130"/>
      <c r="I75" s="130"/>
    </row>
    <row r="76" spans="1:9" x14ac:dyDescent="0.35">
      <c r="A76" s="174"/>
      <c r="B76" s="174"/>
      <c r="C76" s="174"/>
      <c r="D76" s="174"/>
      <c r="E76" s="174"/>
      <c r="F76" s="174"/>
      <c r="G76" s="174"/>
      <c r="H76" s="131"/>
      <c r="I76" s="131"/>
    </row>
    <row r="78" spans="1:9" ht="18.5" x14ac:dyDescent="0.45">
      <c r="A78" s="109" t="s">
        <v>507</v>
      </c>
    </row>
    <row r="79" spans="1:9" ht="21" x14ac:dyDescent="0.5">
      <c r="A79" s="115"/>
    </row>
    <row r="80" spans="1:9" ht="18.5" x14ac:dyDescent="0.45">
      <c r="B80" s="175" t="s">
        <v>485</v>
      </c>
      <c r="C80" s="175"/>
      <c r="D80" s="175" t="s">
        <v>486</v>
      </c>
      <c r="E80" s="175"/>
      <c r="F80" s="175" t="s">
        <v>487</v>
      </c>
      <c r="G80" s="175"/>
    </row>
    <row r="81" spans="1:7" ht="18.5" x14ac:dyDescent="0.45">
      <c r="B81" s="176" t="s">
        <v>10</v>
      </c>
      <c r="C81" s="177"/>
      <c r="D81" s="176" t="s">
        <v>10</v>
      </c>
      <c r="E81" s="177"/>
      <c r="F81" s="176" t="s">
        <v>10</v>
      </c>
      <c r="G81" s="177"/>
    </row>
    <row r="82" spans="1:7" ht="30" x14ac:dyDescent="0.45">
      <c r="A82" s="133" t="s">
        <v>432</v>
      </c>
      <c r="B82" s="134" t="s">
        <v>510</v>
      </c>
      <c r="C82" s="134" t="s">
        <v>511</v>
      </c>
      <c r="D82" s="134" t="s">
        <v>510</v>
      </c>
      <c r="E82" s="134" t="s">
        <v>511</v>
      </c>
      <c r="F82" s="134" t="s">
        <v>510</v>
      </c>
      <c r="G82" s="134" t="s">
        <v>511</v>
      </c>
    </row>
    <row r="83" spans="1:7" x14ac:dyDescent="0.35">
      <c r="A83" s="114">
        <v>3</v>
      </c>
      <c r="B83" s="21">
        <f>SUM(B69-B56)</f>
        <v>3.0399999999999906E-3</v>
      </c>
      <c r="C83" s="21">
        <f>SUM(B56-C69)</f>
        <v>1.960000000000009E-3</v>
      </c>
      <c r="D83" s="21">
        <f>SUM(D69-C56)</f>
        <v>3.4000000000000002E-3</v>
      </c>
      <c r="E83" s="21">
        <f>SUM(C56-E69)</f>
        <v>1.9000000000000006E-3</v>
      </c>
      <c r="F83" s="21">
        <f>SUM(F69-D56)</f>
        <v>3.7000000000000002E-3</v>
      </c>
      <c r="G83" s="21">
        <f>SUM(D56-G69)</f>
        <v>3.899999999999999E-3</v>
      </c>
    </row>
    <row r="84" spans="1:7" x14ac:dyDescent="0.35">
      <c r="A84" s="114">
        <v>6</v>
      </c>
      <c r="B84" s="21">
        <f>SUM(B70-B57)</f>
        <v>1.2999999999999947E-3</v>
      </c>
      <c r="C84" s="21">
        <f>SUM(B57-C70)</f>
        <v>1.8000000000000056E-3</v>
      </c>
      <c r="D84" s="21">
        <f>SUM(D70-C57)</f>
        <v>3.2000000000000006E-3</v>
      </c>
      <c r="E84" s="21">
        <f>SUM(C57-E70)</f>
        <v>2.4000000000000002E-3</v>
      </c>
      <c r="F84" s="21">
        <f>SUM(F70-D57)</f>
        <v>2.0999999999999991E-2</v>
      </c>
      <c r="G84" s="21">
        <f>SUM(D57-G70)</f>
        <v>2.1699999999999997E-2</v>
      </c>
    </row>
    <row r="85" spans="1:7" x14ac:dyDescent="0.35">
      <c r="A85" s="114">
        <v>9</v>
      </c>
      <c r="B85" s="21">
        <f>SUM(B71-B58)</f>
        <v>7.000000000000001E-4</v>
      </c>
      <c r="C85" s="21">
        <f>SUM(B58-C71)</f>
        <v>1E-3</v>
      </c>
      <c r="D85" s="21">
        <f>SUM(D71-C58)</f>
        <v>2.9999999999999992E-3</v>
      </c>
      <c r="E85" s="21">
        <f>SUM(C58-E71)</f>
        <v>4.1000000000000003E-3</v>
      </c>
      <c r="F85" s="21" t="e">
        <f>SUM(F71-D58)</f>
        <v>#N/A</v>
      </c>
      <c r="G85" s="21" t="e">
        <f>SUM(D58-G71)</f>
        <v>#N/A</v>
      </c>
    </row>
    <row r="86" spans="1:7" x14ac:dyDescent="0.35">
      <c r="A86" s="114">
        <v>12</v>
      </c>
      <c r="B86" s="21">
        <f>SUM(B72-B59)</f>
        <v>4.3E-3</v>
      </c>
      <c r="C86" s="21">
        <f>SUM(B59-C72)</f>
        <v>1.7000000000000001E-3</v>
      </c>
      <c r="D86" s="21">
        <f>SUM(D72-C59)</f>
        <v>1.6000000000000007E-3</v>
      </c>
      <c r="E86" s="21">
        <f>SUM(C59-E72)</f>
        <v>6.9999999999999923E-4</v>
      </c>
      <c r="F86" s="21">
        <f>SUM(F72-D59)</f>
        <v>1.519999999999988E-2</v>
      </c>
      <c r="G86" s="21">
        <f>SUM(D59-G72)</f>
        <v>0</v>
      </c>
    </row>
    <row r="88" spans="1:7" x14ac:dyDescent="0.35">
      <c r="A88" s="174" t="s">
        <v>521</v>
      </c>
      <c r="B88" s="174"/>
      <c r="C88" s="174"/>
      <c r="D88" s="174"/>
      <c r="E88" s="174"/>
      <c r="F88" s="174"/>
      <c r="G88" s="174"/>
    </row>
    <row r="89" spans="1:7" x14ac:dyDescent="0.35">
      <c r="A89" s="174"/>
      <c r="B89" s="174"/>
      <c r="C89" s="174"/>
      <c r="D89" s="174"/>
      <c r="E89" s="174"/>
      <c r="F89" s="174"/>
      <c r="G89" s="174"/>
    </row>
    <row r="90" spans="1:7" x14ac:dyDescent="0.35">
      <c r="A90" s="174"/>
      <c r="B90" s="174"/>
      <c r="C90" s="174"/>
      <c r="D90" s="174"/>
      <c r="E90" s="174"/>
      <c r="F90" s="174"/>
      <c r="G90" s="174"/>
    </row>
  </sheetData>
  <mergeCells count="36">
    <mergeCell ref="A3:I4"/>
    <mergeCell ref="B11:C11"/>
    <mergeCell ref="D11:E11"/>
    <mergeCell ref="F11:G11"/>
    <mergeCell ref="B23:E23"/>
    <mergeCell ref="F23:I23"/>
    <mergeCell ref="J23:M23"/>
    <mergeCell ref="B24:C24"/>
    <mergeCell ref="D24:E24"/>
    <mergeCell ref="F24:G24"/>
    <mergeCell ref="H24:I24"/>
    <mergeCell ref="J24:K24"/>
    <mergeCell ref="L24:M24"/>
    <mergeCell ref="A74:G76"/>
    <mergeCell ref="A31:M32"/>
    <mergeCell ref="B37:E37"/>
    <mergeCell ref="F37:I37"/>
    <mergeCell ref="J37:M37"/>
    <mergeCell ref="B38:C38"/>
    <mergeCell ref="D38:E38"/>
    <mergeCell ref="F38:G38"/>
    <mergeCell ref="H38:I38"/>
    <mergeCell ref="J38:K38"/>
    <mergeCell ref="L38:M38"/>
    <mergeCell ref="A45:M46"/>
    <mergeCell ref="A61:E62"/>
    <mergeCell ref="B67:C67"/>
    <mergeCell ref="D67:E67"/>
    <mergeCell ref="F67:G67"/>
    <mergeCell ref="A88:G90"/>
    <mergeCell ref="B80:C80"/>
    <mergeCell ref="D80:E80"/>
    <mergeCell ref="F80:G80"/>
    <mergeCell ref="B81:C81"/>
    <mergeCell ref="D81:E81"/>
    <mergeCell ref="F81:G81"/>
  </mergeCells>
  <pageMargins left="0.7" right="0.7" top="0.75" bottom="0.75" header="0.3" footer="0.3"/>
  <ignoredErrors>
    <ignoredError sqref="H42 I41 L41" formula="1"/>
    <ignoredError sqref="L42:M42" evalError="1"/>
    <ignoredError sqref="J42:K42" evalError="1"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5C28E-4D6A-42F0-8E9B-A100D0C3A326}">
  <dimension ref="A1:Z86"/>
  <sheetViews>
    <sheetView topLeftCell="A56" zoomScale="70" zoomScaleNormal="70" workbookViewId="0"/>
  </sheetViews>
  <sheetFormatPr baseColWidth="10" defaultRowHeight="14.5" x14ac:dyDescent="0.35"/>
  <sheetData>
    <row r="1" spans="1:7" ht="28.5" x14ac:dyDescent="0.65">
      <c r="A1" s="116" t="s">
        <v>490</v>
      </c>
    </row>
    <row r="2" spans="1:7" x14ac:dyDescent="0.35">
      <c r="A2" t="s">
        <v>540</v>
      </c>
    </row>
    <row r="3" spans="1:7" x14ac:dyDescent="0.35">
      <c r="A3" t="s">
        <v>522</v>
      </c>
    </row>
    <row r="5" spans="1:7" ht="21" x14ac:dyDescent="0.5">
      <c r="A5" s="140" t="s">
        <v>523</v>
      </c>
    </row>
    <row r="7" spans="1:7" ht="18.5" x14ac:dyDescent="0.45">
      <c r="A7" s="109" t="s">
        <v>500</v>
      </c>
    </row>
    <row r="8" spans="1:7" ht="18.5" x14ac:dyDescent="0.45">
      <c r="A8" s="128"/>
    </row>
    <row r="9" spans="1:7" ht="18.5" x14ac:dyDescent="0.45">
      <c r="A9" s="109" t="s">
        <v>512</v>
      </c>
    </row>
    <row r="10" spans="1:7" ht="18.5" x14ac:dyDescent="0.45">
      <c r="A10" s="108" t="s">
        <v>432</v>
      </c>
      <c r="B10" s="108" t="s">
        <v>478</v>
      </c>
      <c r="C10" s="108" t="s">
        <v>479</v>
      </c>
      <c r="D10" s="108" t="s">
        <v>480</v>
      </c>
      <c r="E10" s="108" t="s">
        <v>481</v>
      </c>
      <c r="F10" s="108" t="s">
        <v>482</v>
      </c>
      <c r="G10" s="108" t="s">
        <v>483</v>
      </c>
    </row>
    <row r="11" spans="1:7" x14ac:dyDescent="0.35">
      <c r="A11" s="114">
        <v>3</v>
      </c>
      <c r="B11" s="21">
        <v>2.9439999999999956E-2</v>
      </c>
      <c r="C11" s="21">
        <v>3.2320000000000036E-2</v>
      </c>
      <c r="D11" s="21">
        <v>3.9280000000000023E-2</v>
      </c>
      <c r="E11" s="21">
        <v>4.1200000000000035E-2</v>
      </c>
      <c r="F11" s="21">
        <v>6.1700000000000046E-2</v>
      </c>
      <c r="G11" s="21">
        <v>5.2819999999999999E-2</v>
      </c>
    </row>
    <row r="12" spans="1:7" x14ac:dyDescent="0.35">
      <c r="A12" s="114">
        <v>6</v>
      </c>
      <c r="B12" s="21">
        <v>3.9160000000000042E-2</v>
      </c>
      <c r="C12" s="21">
        <v>3.6939999999999931E-2</v>
      </c>
      <c r="D12" s="21">
        <v>5.0519999999999989E-2</v>
      </c>
      <c r="E12" s="21">
        <v>5.2520000000000032E-2</v>
      </c>
      <c r="F12" s="21">
        <v>6.8719999999999976E-2</v>
      </c>
      <c r="G12" s="21">
        <v>6.7799999999999999E-2</v>
      </c>
    </row>
    <row r="13" spans="1:7" x14ac:dyDescent="0.35">
      <c r="A13" s="114">
        <v>9</v>
      </c>
      <c r="B13" s="21">
        <v>4.8000000000000001E-2</v>
      </c>
      <c r="C13" s="74">
        <v>4.4700000000000004E-2</v>
      </c>
      <c r="D13" s="21">
        <v>0.1012</v>
      </c>
      <c r="E13" s="21">
        <v>6.6879999999999967E-2</v>
      </c>
      <c r="F13" s="74" t="e">
        <f>NA()</f>
        <v>#N/A</v>
      </c>
      <c r="G13" s="21" t="e">
        <f>NA()</f>
        <v>#N/A</v>
      </c>
    </row>
    <row r="14" spans="1:7" x14ac:dyDescent="0.35">
      <c r="A14" s="114">
        <v>12</v>
      </c>
      <c r="B14" s="21">
        <v>5.9959999999999972E-2</v>
      </c>
      <c r="C14" s="74">
        <v>5.2700000000000011E-2</v>
      </c>
      <c r="D14" s="21">
        <v>6.0740000000000002E-2</v>
      </c>
      <c r="E14" s="21">
        <v>6.1119999999999973E-2</v>
      </c>
      <c r="F14" s="21">
        <v>-5.0979999999999984E-2</v>
      </c>
      <c r="G14" s="21">
        <v>-4.7459999999999926E-2</v>
      </c>
    </row>
    <row r="17" spans="1:26" ht="18.5" x14ac:dyDescent="0.45">
      <c r="A17" s="109" t="s">
        <v>513</v>
      </c>
    </row>
    <row r="18" spans="1:26" ht="18.5" x14ac:dyDescent="0.45">
      <c r="A18" s="126"/>
      <c r="B18" s="185" t="s">
        <v>485</v>
      </c>
      <c r="C18" s="185"/>
      <c r="D18" s="185"/>
      <c r="E18" s="186"/>
      <c r="F18" s="187" t="s">
        <v>486</v>
      </c>
      <c r="G18" s="185"/>
      <c r="H18" s="185"/>
      <c r="I18" s="186"/>
      <c r="J18" s="187" t="s">
        <v>487</v>
      </c>
      <c r="K18" s="185"/>
      <c r="L18" s="185"/>
      <c r="M18" s="186"/>
    </row>
    <row r="19" spans="1:26" ht="18.5" x14ac:dyDescent="0.45">
      <c r="A19" s="138"/>
      <c r="B19" s="188" t="s">
        <v>10</v>
      </c>
      <c r="C19" s="189"/>
      <c r="D19" s="190" t="s">
        <v>11</v>
      </c>
      <c r="E19" s="189"/>
      <c r="F19" s="190" t="s">
        <v>10</v>
      </c>
      <c r="G19" s="189"/>
      <c r="H19" s="190" t="s">
        <v>11</v>
      </c>
      <c r="I19" s="189"/>
      <c r="J19" s="190" t="s">
        <v>10</v>
      </c>
      <c r="K19" s="189"/>
      <c r="L19" s="190" t="s">
        <v>11</v>
      </c>
      <c r="M19" s="189"/>
    </row>
    <row r="20" spans="1:26" ht="30" x14ac:dyDescent="0.45">
      <c r="A20" s="139" t="s">
        <v>432</v>
      </c>
      <c r="B20" s="119" t="s">
        <v>510</v>
      </c>
      <c r="C20" s="119" t="s">
        <v>511</v>
      </c>
      <c r="D20" s="119" t="s">
        <v>510</v>
      </c>
      <c r="E20" s="119" t="s">
        <v>511</v>
      </c>
      <c r="F20" s="119" t="s">
        <v>510</v>
      </c>
      <c r="G20" s="119" t="s">
        <v>511</v>
      </c>
      <c r="H20" s="119" t="s">
        <v>510</v>
      </c>
      <c r="I20" s="119" t="s">
        <v>511</v>
      </c>
      <c r="J20" s="119" t="s">
        <v>510</v>
      </c>
      <c r="K20" s="119" t="s">
        <v>511</v>
      </c>
      <c r="L20" s="119" t="s">
        <v>510</v>
      </c>
      <c r="M20" s="119" t="s">
        <v>511</v>
      </c>
    </row>
    <row r="21" spans="1:26" x14ac:dyDescent="0.35">
      <c r="A21" s="74">
        <v>3</v>
      </c>
      <c r="B21" s="21">
        <v>7.0600000000000211E-3</v>
      </c>
      <c r="C21" s="21">
        <v>6.1400000000000794E-3</v>
      </c>
      <c r="D21" s="21">
        <v>8.6799999999998892E-3</v>
      </c>
      <c r="E21" s="21">
        <v>5.1199999999999232E-3</v>
      </c>
      <c r="F21" s="21">
        <v>5.2199999999999608E-3</v>
      </c>
      <c r="G21" s="21">
        <v>4.0200000000000929E-3</v>
      </c>
      <c r="H21" s="21">
        <v>1.900000000000103E-3</v>
      </c>
      <c r="I21" s="21">
        <v>8.1000000000001279E-3</v>
      </c>
      <c r="J21" s="21">
        <v>2.9999999999992533E-4</v>
      </c>
      <c r="K21" s="21">
        <v>1.2000000000001315E-3</v>
      </c>
      <c r="L21" s="21">
        <v>1.2800000000000381E-3</v>
      </c>
      <c r="M21" s="21">
        <v>1.0819999999999962E-2</v>
      </c>
      <c r="O21" s="30"/>
      <c r="P21" s="30"/>
      <c r="Q21" s="30"/>
      <c r="R21" s="30"/>
      <c r="S21" s="30"/>
      <c r="T21" s="30"/>
      <c r="U21" s="30"/>
      <c r="V21" s="30"/>
      <c r="W21" s="30"/>
      <c r="X21" s="30"/>
      <c r="Y21" s="30"/>
      <c r="Z21" s="30"/>
    </row>
    <row r="22" spans="1:26" x14ac:dyDescent="0.35">
      <c r="A22" s="74">
        <v>6</v>
      </c>
      <c r="B22" s="21">
        <v>1.6399999999999054E-3</v>
      </c>
      <c r="C22" s="21">
        <v>2.659999999999843E-3</v>
      </c>
      <c r="D22" s="21">
        <v>4.4599999999999501E-3</v>
      </c>
      <c r="E22" s="21">
        <v>7.9400000000000165E-3</v>
      </c>
      <c r="F22" s="21">
        <v>4.8199999999999146E-3</v>
      </c>
      <c r="G22" s="21">
        <v>1.11800000000001E-2</v>
      </c>
      <c r="H22" s="21">
        <v>1.8279999999999942E-2</v>
      </c>
      <c r="I22" s="21">
        <v>2.8800000000000839E-3</v>
      </c>
      <c r="J22" s="21">
        <v>4.3199999999999628E-3</v>
      </c>
      <c r="K22" s="21">
        <v>2.6799999999999324E-3</v>
      </c>
      <c r="L22" s="21">
        <v>3.9999999999999203E-3</v>
      </c>
      <c r="M22" s="21">
        <v>2.9000000000000414E-3</v>
      </c>
      <c r="O22" s="30"/>
      <c r="P22" s="30"/>
      <c r="Q22" s="30"/>
      <c r="R22" s="30"/>
      <c r="S22" s="30"/>
      <c r="T22" s="30"/>
      <c r="U22" s="30"/>
      <c r="V22" s="30"/>
      <c r="W22" s="30"/>
      <c r="X22" s="30"/>
      <c r="Y22" s="30"/>
      <c r="Z22" s="30"/>
    </row>
    <row r="23" spans="1:26" x14ac:dyDescent="0.35">
      <c r="A23" s="74">
        <v>9</v>
      </c>
      <c r="B23" s="21">
        <v>2.9300000000000145E-2</v>
      </c>
      <c r="C23" s="21">
        <v>1.7100000000000073E-2</v>
      </c>
      <c r="D23" s="21">
        <v>1.4799999999999883E-2</v>
      </c>
      <c r="E23" s="21">
        <v>8.6999999999999716E-3</v>
      </c>
      <c r="F23" s="21">
        <v>5.5999999999999869E-2</v>
      </c>
      <c r="G23" s="21">
        <v>1.1799999999999852E-2</v>
      </c>
      <c r="H23" s="21">
        <v>2.5799999999999434E-3</v>
      </c>
      <c r="I23" s="21">
        <v>1.3380000000000086E-2</v>
      </c>
      <c r="J23" s="21" t="e">
        <v>#N/A</v>
      </c>
      <c r="K23" s="21" t="e">
        <v>#N/A</v>
      </c>
      <c r="L23" s="21" t="e">
        <v>#N/A</v>
      </c>
      <c r="M23" s="21" t="e">
        <v>#N/A</v>
      </c>
      <c r="O23" s="30"/>
      <c r="P23" s="30"/>
      <c r="Q23" s="30"/>
      <c r="R23" s="30"/>
      <c r="S23" s="30"/>
      <c r="T23" s="30"/>
      <c r="U23" s="30"/>
      <c r="V23" s="30"/>
      <c r="W23" s="30"/>
      <c r="X23" s="30"/>
      <c r="Y23" s="30"/>
      <c r="Z23" s="30"/>
    </row>
    <row r="24" spans="1:26" x14ac:dyDescent="0.35">
      <c r="A24" s="74">
        <v>12</v>
      </c>
      <c r="B24" s="21">
        <v>3.0399999999999733E-3</v>
      </c>
      <c r="C24" s="21">
        <v>7.1600000000000136E-3</v>
      </c>
      <c r="D24" s="21">
        <v>3.9999999999999619E-3</v>
      </c>
      <c r="E24" s="21">
        <v>2.3000000000000104E-3</v>
      </c>
      <c r="F24" s="21">
        <v>9.6000000000007191E-4</v>
      </c>
      <c r="G24" s="21">
        <v>1.3400000000001189E-3</v>
      </c>
      <c r="H24" s="21">
        <v>4.9800000000000746E-3</v>
      </c>
      <c r="I24" s="21">
        <v>1.212000000000004E-2</v>
      </c>
      <c r="J24" s="21">
        <v>1.3919999999999974E-2</v>
      </c>
      <c r="K24" s="21">
        <v>5.7800000000000767E-3</v>
      </c>
      <c r="L24" s="21">
        <v>1.460000000000107E-3</v>
      </c>
      <c r="M24" s="21">
        <v>9.5999999999994007E-4</v>
      </c>
      <c r="O24" s="30"/>
      <c r="P24" s="30"/>
      <c r="Q24" s="30"/>
      <c r="R24" s="30"/>
      <c r="S24" s="30"/>
      <c r="T24" s="30"/>
      <c r="U24" s="30"/>
      <c r="V24" s="30"/>
      <c r="W24" s="30"/>
      <c r="X24" s="30"/>
      <c r="Y24" s="30"/>
      <c r="Z24" s="30"/>
    </row>
    <row r="56" spans="1:4" ht="21" x14ac:dyDescent="0.5">
      <c r="A56" s="140" t="s">
        <v>524</v>
      </c>
    </row>
    <row r="59" spans="1:4" ht="21" x14ac:dyDescent="0.5">
      <c r="A59" s="115" t="s">
        <v>541</v>
      </c>
    </row>
    <row r="60" spans="1:4" ht="18.5" x14ac:dyDescent="0.45">
      <c r="A60" s="108" t="s">
        <v>432</v>
      </c>
      <c r="B60" s="108" t="s">
        <v>478</v>
      </c>
      <c r="C60" s="108" t="s">
        <v>480</v>
      </c>
      <c r="D60" s="108" t="s">
        <v>482</v>
      </c>
    </row>
    <row r="61" spans="1:4" x14ac:dyDescent="0.35">
      <c r="A61" s="114">
        <v>3</v>
      </c>
      <c r="B61" s="21">
        <v>4.760000000000009E-3</v>
      </c>
      <c r="C61" s="21">
        <v>8.8000000000000005E-3</v>
      </c>
      <c r="D61" s="21">
        <v>1.3599999999999999E-2</v>
      </c>
    </row>
    <row r="62" spans="1:4" x14ac:dyDescent="0.35">
      <c r="A62" s="114">
        <v>6</v>
      </c>
      <c r="B62" s="21">
        <v>6.0000000000000053E-3</v>
      </c>
      <c r="C62" s="21">
        <v>7.0000000000000001E-3</v>
      </c>
      <c r="D62" s="21">
        <v>-0.1084</v>
      </c>
    </row>
    <row r="63" spans="1:4" x14ac:dyDescent="0.35">
      <c r="A63" s="114">
        <v>9</v>
      </c>
      <c r="B63" s="21">
        <v>5.5999999999999999E-3</v>
      </c>
      <c r="C63" s="21">
        <v>8.5000000000000006E-3</v>
      </c>
      <c r="D63" s="21" t="e">
        <f>NA()</f>
        <v>#N/A</v>
      </c>
    </row>
    <row r="64" spans="1:4" x14ac:dyDescent="0.35">
      <c r="A64" s="114">
        <v>12</v>
      </c>
      <c r="B64" s="21">
        <v>9.4999999999999998E-3</v>
      </c>
      <c r="C64" s="21">
        <v>9.4999999999999998E-3</v>
      </c>
      <c r="D64" s="21">
        <v>-0.29039999999999999</v>
      </c>
    </row>
    <row r="68" spans="1:18" ht="21" x14ac:dyDescent="0.5">
      <c r="A68" s="115" t="s">
        <v>542</v>
      </c>
    </row>
    <row r="69" spans="1:18" ht="18.5" x14ac:dyDescent="0.45">
      <c r="A69" s="118" t="s">
        <v>432</v>
      </c>
      <c r="B69" s="183" t="s">
        <v>485</v>
      </c>
      <c r="C69" s="183"/>
      <c r="D69" s="183" t="s">
        <v>486</v>
      </c>
      <c r="E69" s="183"/>
      <c r="F69" s="183" t="s">
        <v>487</v>
      </c>
      <c r="G69" s="183"/>
      <c r="L69" s="123"/>
      <c r="M69" s="184"/>
      <c r="N69" s="184"/>
      <c r="O69" s="184"/>
      <c r="P69" s="184"/>
      <c r="Q69" s="184"/>
      <c r="R69" s="184"/>
    </row>
    <row r="70" spans="1:18" ht="29" x14ac:dyDescent="0.35">
      <c r="A70" s="74"/>
      <c r="B70" s="119" t="s">
        <v>510</v>
      </c>
      <c r="C70" s="119" t="s">
        <v>511</v>
      </c>
      <c r="D70" s="119" t="s">
        <v>510</v>
      </c>
      <c r="E70" s="119" t="s">
        <v>511</v>
      </c>
      <c r="F70" s="119" t="s">
        <v>510</v>
      </c>
      <c r="G70" s="119" t="s">
        <v>511</v>
      </c>
      <c r="M70" s="122"/>
      <c r="N70" s="122"/>
      <c r="O70" s="122"/>
      <c r="P70" s="122"/>
      <c r="Q70" s="122"/>
      <c r="R70" s="122"/>
    </row>
    <row r="71" spans="1:18" x14ac:dyDescent="0.35">
      <c r="A71" s="114">
        <v>3</v>
      </c>
      <c r="B71" s="21">
        <v>3.0399999999999906E-3</v>
      </c>
      <c r="C71" s="21">
        <v>1.960000000000009E-3</v>
      </c>
      <c r="D71" s="21">
        <v>3.4000000000000002E-3</v>
      </c>
      <c r="E71" s="21">
        <v>1.9000000000000006E-3</v>
      </c>
      <c r="F71" s="21">
        <v>3.7000000000000002E-3</v>
      </c>
      <c r="G71" s="21">
        <v>3.899999999999999E-3</v>
      </c>
      <c r="L71" s="124"/>
      <c r="M71" s="30"/>
      <c r="N71" s="30"/>
      <c r="O71" s="30"/>
      <c r="P71" s="30"/>
      <c r="Q71" s="30"/>
      <c r="R71" s="30"/>
    </row>
    <row r="72" spans="1:18" x14ac:dyDescent="0.35">
      <c r="A72" s="114">
        <v>6</v>
      </c>
      <c r="B72" s="21">
        <v>1.2999999999999947E-3</v>
      </c>
      <c r="C72" s="21">
        <v>1.8000000000000056E-3</v>
      </c>
      <c r="D72" s="21">
        <v>3.2000000000000006E-3</v>
      </c>
      <c r="E72" s="21">
        <v>2.4000000000000002E-3</v>
      </c>
      <c r="F72" s="21">
        <v>2.0999999999999991E-2</v>
      </c>
      <c r="G72" s="21">
        <v>2.1699999999999997E-2</v>
      </c>
      <c r="L72" s="124"/>
      <c r="M72" s="30"/>
      <c r="N72" s="30"/>
      <c r="O72" s="30"/>
      <c r="P72" s="30"/>
      <c r="Q72" s="30"/>
      <c r="R72" s="30"/>
    </row>
    <row r="73" spans="1:18" x14ac:dyDescent="0.35">
      <c r="A73" s="114">
        <v>9</v>
      </c>
      <c r="B73" s="21">
        <v>7.000000000000001E-4</v>
      </c>
      <c r="C73" s="21">
        <v>1E-3</v>
      </c>
      <c r="D73" s="21">
        <v>2.9999999999999992E-3</v>
      </c>
      <c r="E73" s="21">
        <v>4.1000000000000003E-3</v>
      </c>
      <c r="F73" s="21" t="e">
        <v>#N/A</v>
      </c>
      <c r="G73" s="21" t="e">
        <v>#N/A</v>
      </c>
      <c r="L73" s="124"/>
      <c r="M73" s="30"/>
      <c r="N73" s="30"/>
      <c r="O73" s="30"/>
      <c r="P73" s="30"/>
      <c r="Q73" s="30"/>
      <c r="R73" s="30"/>
    </row>
    <row r="74" spans="1:18" x14ac:dyDescent="0.35">
      <c r="A74" s="114">
        <v>12</v>
      </c>
      <c r="B74" s="21">
        <v>4.3E-3</v>
      </c>
      <c r="C74" s="21">
        <v>1.7000000000000001E-3</v>
      </c>
      <c r="D74" s="21">
        <v>1.6000000000000007E-3</v>
      </c>
      <c r="E74" s="21">
        <v>6.9999999999999923E-4</v>
      </c>
      <c r="F74" s="21">
        <v>1.519999999999988E-2</v>
      </c>
      <c r="G74" s="21">
        <v>0</v>
      </c>
      <c r="L74" s="124"/>
      <c r="M74" s="30"/>
      <c r="N74" s="30"/>
      <c r="O74" s="30"/>
      <c r="P74" s="30"/>
      <c r="Q74" s="30"/>
      <c r="R74" s="30"/>
    </row>
    <row r="76" spans="1:18" x14ac:dyDescent="0.35">
      <c r="O76" s="141"/>
    </row>
    <row r="77" spans="1:18" x14ac:dyDescent="0.35">
      <c r="O77" s="69"/>
    </row>
    <row r="78" spans="1:18" x14ac:dyDescent="0.35">
      <c r="O78" s="69"/>
    </row>
    <row r="79" spans="1:18" x14ac:dyDescent="0.35">
      <c r="O79" s="69"/>
    </row>
    <row r="80" spans="1:18" x14ac:dyDescent="0.35">
      <c r="O80" s="141"/>
    </row>
    <row r="81" spans="15:15" x14ac:dyDescent="0.35">
      <c r="O81" s="69"/>
    </row>
    <row r="82" spans="15:15" x14ac:dyDescent="0.35">
      <c r="O82" s="69"/>
    </row>
    <row r="83" spans="15:15" x14ac:dyDescent="0.35">
      <c r="O83" s="141"/>
    </row>
    <row r="84" spans="15:15" x14ac:dyDescent="0.35">
      <c r="O84" s="69"/>
    </row>
    <row r="85" spans="15:15" x14ac:dyDescent="0.35">
      <c r="O85" s="141"/>
    </row>
    <row r="86" spans="15:15" x14ac:dyDescent="0.35">
      <c r="O86" s="69"/>
    </row>
  </sheetData>
  <mergeCells count="15">
    <mergeCell ref="Q69:R69"/>
    <mergeCell ref="B18:E18"/>
    <mergeCell ref="F18:I18"/>
    <mergeCell ref="J18:M18"/>
    <mergeCell ref="B19:C19"/>
    <mergeCell ref="D19:E19"/>
    <mergeCell ref="F19:G19"/>
    <mergeCell ref="H19:I19"/>
    <mergeCell ref="J19:K19"/>
    <mergeCell ref="L19:M19"/>
    <mergeCell ref="B69:C69"/>
    <mergeCell ref="D69:E69"/>
    <mergeCell ref="F69:G69"/>
    <mergeCell ref="M69:N69"/>
    <mergeCell ref="O69:P6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B2721-9C06-4642-84CD-EA8A36F68405}">
  <dimension ref="A1:K41"/>
  <sheetViews>
    <sheetView zoomScale="50" zoomScaleNormal="50" workbookViewId="0">
      <selection activeCell="Q23" sqref="Q23"/>
    </sheetView>
  </sheetViews>
  <sheetFormatPr baseColWidth="10" defaultRowHeight="14.5" x14ac:dyDescent="0.35"/>
  <cols>
    <col min="2" max="2" width="13.36328125" customWidth="1"/>
    <col min="3" max="3" width="13.90625" customWidth="1"/>
    <col min="4" max="4" width="14.453125" customWidth="1"/>
    <col min="5" max="5" width="15.08984375" customWidth="1"/>
  </cols>
  <sheetData>
    <row r="1" spans="1:11" ht="28.5" x14ac:dyDescent="0.65">
      <c r="A1" s="116" t="s">
        <v>551</v>
      </c>
    </row>
    <row r="3" spans="1:11" ht="21" x14ac:dyDescent="0.5">
      <c r="A3" s="142" t="s">
        <v>544</v>
      </c>
    </row>
    <row r="4" spans="1:11" ht="21" x14ac:dyDescent="0.5">
      <c r="A4" s="142"/>
    </row>
    <row r="5" spans="1:11" x14ac:dyDescent="0.35">
      <c r="A5" s="191" t="s">
        <v>432</v>
      </c>
      <c r="B5" s="192" t="s">
        <v>103</v>
      </c>
      <c r="C5" s="191" t="s">
        <v>545</v>
      </c>
      <c r="D5" s="191" t="s">
        <v>546</v>
      </c>
      <c r="E5" s="191" t="s">
        <v>547</v>
      </c>
    </row>
    <row r="6" spans="1:11" ht="20.5" customHeight="1" x14ac:dyDescent="0.35">
      <c r="A6" s="191"/>
      <c r="B6" s="192"/>
      <c r="C6" s="191"/>
      <c r="D6" s="191"/>
      <c r="E6" s="191"/>
    </row>
    <row r="7" spans="1:11" x14ac:dyDescent="0.35">
      <c r="A7" s="114">
        <v>3</v>
      </c>
      <c r="B7" s="114" t="s">
        <v>543</v>
      </c>
      <c r="C7" s="144">
        <v>2.9399999999999999E-2</v>
      </c>
      <c r="D7" s="144">
        <v>4.7999999999999996E-3</v>
      </c>
      <c r="E7" s="145">
        <f>D7/C7</f>
        <v>0.16326530612244897</v>
      </c>
      <c r="G7" s="30"/>
      <c r="H7" s="30"/>
      <c r="I7" s="30"/>
      <c r="J7" s="30"/>
      <c r="K7" s="30"/>
    </row>
    <row r="8" spans="1:11" x14ac:dyDescent="0.35">
      <c r="A8" s="114">
        <v>6</v>
      </c>
      <c r="B8" s="114" t="s">
        <v>543</v>
      </c>
      <c r="C8" s="144">
        <v>3.9199999999999999E-2</v>
      </c>
      <c r="D8" s="144">
        <v>6.0000000000000001E-3</v>
      </c>
      <c r="E8" s="145">
        <f t="shared" ref="E8:E18" si="0">D8/C8</f>
        <v>0.15306122448979592</v>
      </c>
      <c r="G8" s="30"/>
      <c r="H8" s="30"/>
      <c r="I8" s="30"/>
      <c r="J8" s="30"/>
    </row>
    <row r="9" spans="1:11" x14ac:dyDescent="0.35">
      <c r="A9" s="114">
        <v>9</v>
      </c>
      <c r="B9" s="114" t="s">
        <v>543</v>
      </c>
      <c r="C9" s="144">
        <v>4.8000000000000001E-2</v>
      </c>
      <c r="D9" s="144">
        <v>5.5999999999999999E-3</v>
      </c>
      <c r="E9" s="145">
        <f t="shared" si="0"/>
        <v>0.11666666666666667</v>
      </c>
      <c r="G9" s="30"/>
      <c r="H9" s="30"/>
      <c r="I9" s="30"/>
      <c r="J9" s="30"/>
    </row>
    <row r="10" spans="1:11" x14ac:dyDescent="0.35">
      <c r="A10" s="114">
        <v>12</v>
      </c>
      <c r="B10" s="114" t="s">
        <v>543</v>
      </c>
      <c r="C10" s="144">
        <v>0.06</v>
      </c>
      <c r="D10" s="114">
        <v>9.4999999999999998E-3</v>
      </c>
      <c r="E10" s="145">
        <f t="shared" si="0"/>
        <v>0.15833333333333333</v>
      </c>
      <c r="G10" s="30"/>
      <c r="H10" s="30"/>
      <c r="I10" s="30"/>
      <c r="J10" s="30"/>
    </row>
    <row r="11" spans="1:11" x14ac:dyDescent="0.35">
      <c r="A11" s="114">
        <v>3</v>
      </c>
      <c r="B11" s="114" t="s">
        <v>486</v>
      </c>
      <c r="C11" s="114">
        <v>3.9300000000000002E-2</v>
      </c>
      <c r="D11" s="114">
        <v>8.8000000000000005E-3</v>
      </c>
      <c r="E11" s="145">
        <f t="shared" si="0"/>
        <v>0.22391857506361323</v>
      </c>
      <c r="G11" s="30"/>
      <c r="H11" s="30"/>
      <c r="I11" s="30"/>
      <c r="J11" s="30"/>
    </row>
    <row r="12" spans="1:11" x14ac:dyDescent="0.35">
      <c r="A12" s="114">
        <v>6</v>
      </c>
      <c r="B12" s="114" t="s">
        <v>486</v>
      </c>
      <c r="C12" s="114">
        <v>5.0500000000000003E-2</v>
      </c>
      <c r="D12" s="114">
        <v>7.0000000000000001E-3</v>
      </c>
      <c r="E12" s="145">
        <f t="shared" si="0"/>
        <v>0.1386138613861386</v>
      </c>
      <c r="G12" s="30"/>
      <c r="H12" s="30"/>
      <c r="I12" s="30"/>
    </row>
    <row r="13" spans="1:11" x14ac:dyDescent="0.35">
      <c r="A13" s="114">
        <v>9</v>
      </c>
      <c r="B13" s="114" t="s">
        <v>486</v>
      </c>
      <c r="C13" s="144">
        <v>0.1012</v>
      </c>
      <c r="D13" s="144">
        <v>8.5000000000000006E-3</v>
      </c>
      <c r="E13" s="145">
        <f t="shared" si="0"/>
        <v>8.399209486166008E-2</v>
      </c>
      <c r="G13" s="30"/>
      <c r="H13" s="30"/>
      <c r="I13" s="30"/>
    </row>
    <row r="14" spans="1:11" x14ac:dyDescent="0.35">
      <c r="A14" s="114">
        <v>12</v>
      </c>
      <c r="B14" s="114" t="s">
        <v>486</v>
      </c>
      <c r="C14" s="114">
        <v>6.0699999999999997E-2</v>
      </c>
      <c r="D14" s="144">
        <v>9.4999999999999998E-3</v>
      </c>
      <c r="E14" s="145">
        <f t="shared" si="0"/>
        <v>0.15650741350906097</v>
      </c>
      <c r="G14" s="30"/>
      <c r="H14" s="30"/>
      <c r="I14" s="30"/>
    </row>
    <row r="15" spans="1:11" x14ac:dyDescent="0.35">
      <c r="A15" s="114">
        <v>3</v>
      </c>
      <c r="B15" s="114" t="s">
        <v>487</v>
      </c>
      <c r="C15" s="144">
        <v>6.1699999999999998E-2</v>
      </c>
      <c r="D15" s="114">
        <v>1.3599999999999999E-2</v>
      </c>
      <c r="E15" s="145">
        <f t="shared" si="0"/>
        <v>0.22042139384116693</v>
      </c>
      <c r="G15" s="30"/>
      <c r="H15" s="30"/>
      <c r="I15" s="30"/>
    </row>
    <row r="16" spans="1:11" x14ac:dyDescent="0.35">
      <c r="A16" s="114">
        <v>6</v>
      </c>
      <c r="B16" s="114" t="s">
        <v>487</v>
      </c>
      <c r="C16" s="114">
        <v>6.8699999999999997E-2</v>
      </c>
      <c r="D16" s="114">
        <v>-0.1084</v>
      </c>
      <c r="E16" s="145">
        <f t="shared" si="0"/>
        <v>-1.5778748180494906</v>
      </c>
      <c r="G16" s="30"/>
      <c r="H16" s="30"/>
      <c r="I16" s="30"/>
    </row>
    <row r="17" spans="1:11" x14ac:dyDescent="0.35">
      <c r="A17" s="114">
        <v>9</v>
      </c>
      <c r="B17" s="114" t="s">
        <v>487</v>
      </c>
      <c r="C17" s="114" t="e">
        <f>NA()</f>
        <v>#N/A</v>
      </c>
      <c r="D17" s="114" t="e">
        <f>NA()</f>
        <v>#N/A</v>
      </c>
      <c r="E17" s="145" t="e">
        <f t="shared" si="0"/>
        <v>#N/A</v>
      </c>
      <c r="G17" s="30"/>
      <c r="H17" s="30"/>
      <c r="I17" s="30"/>
      <c r="J17" s="30"/>
      <c r="K17" s="30"/>
    </row>
    <row r="18" spans="1:11" x14ac:dyDescent="0.35">
      <c r="A18" s="114">
        <v>12</v>
      </c>
      <c r="B18" s="114" t="s">
        <v>487</v>
      </c>
      <c r="C18" s="114">
        <v>-5.0999999999999997E-2</v>
      </c>
      <c r="D18" s="114">
        <v>-0.27989999999999998</v>
      </c>
      <c r="E18" s="145">
        <f t="shared" si="0"/>
        <v>5.4882352941176471</v>
      </c>
      <c r="G18" s="30"/>
      <c r="H18" s="30"/>
      <c r="I18" s="30"/>
      <c r="J18" s="30"/>
    </row>
    <row r="19" spans="1:11" x14ac:dyDescent="0.35">
      <c r="G19" s="30"/>
      <c r="H19" s="30"/>
      <c r="I19" s="30"/>
      <c r="J19" s="30"/>
    </row>
    <row r="20" spans="1:11" x14ac:dyDescent="0.35">
      <c r="G20" s="30"/>
      <c r="H20" s="30"/>
      <c r="I20" s="30"/>
      <c r="J20" s="30"/>
    </row>
    <row r="21" spans="1:11" ht="18.5" x14ac:dyDescent="0.45">
      <c r="A21" s="135" t="s">
        <v>432</v>
      </c>
      <c r="B21" s="135" t="s">
        <v>549</v>
      </c>
      <c r="C21" s="135" t="s">
        <v>550</v>
      </c>
      <c r="D21" s="135" t="s">
        <v>487</v>
      </c>
      <c r="G21" s="30"/>
      <c r="H21" s="30"/>
      <c r="I21" s="30"/>
      <c r="J21" s="30"/>
    </row>
    <row r="22" spans="1:11" x14ac:dyDescent="0.35">
      <c r="A22" s="114">
        <v>3</v>
      </c>
      <c r="B22" s="146">
        <v>0.16326530612244897</v>
      </c>
      <c r="C22" s="146">
        <v>0.22391857506361323</v>
      </c>
      <c r="D22" s="146">
        <v>0.22042139384116693</v>
      </c>
      <c r="G22" s="30"/>
      <c r="H22" s="30"/>
      <c r="I22" s="30"/>
    </row>
    <row r="23" spans="1:11" x14ac:dyDescent="0.35">
      <c r="A23" s="114">
        <v>6</v>
      </c>
      <c r="B23" s="146">
        <v>0.15306122448979592</v>
      </c>
      <c r="C23" s="146">
        <v>0.1386138613861386</v>
      </c>
      <c r="D23" s="146">
        <v>-1.5778748180494906</v>
      </c>
      <c r="H23" s="30"/>
      <c r="I23" s="30"/>
    </row>
    <row r="24" spans="1:11" x14ac:dyDescent="0.35">
      <c r="A24" s="114">
        <v>9</v>
      </c>
      <c r="B24" s="146">
        <v>0.11666666666666667</v>
      </c>
      <c r="C24" s="146">
        <v>8.399209486166008E-2</v>
      </c>
      <c r="D24" s="146" t="e">
        <v>#N/A</v>
      </c>
      <c r="H24" s="30"/>
      <c r="I24" s="30"/>
    </row>
    <row r="25" spans="1:11" x14ac:dyDescent="0.35">
      <c r="A25" s="114">
        <v>12</v>
      </c>
      <c r="B25" s="146">
        <v>0.15833333333333333</v>
      </c>
      <c r="C25" s="146">
        <v>0.15650741350906097</v>
      </c>
      <c r="D25" s="147" t="s">
        <v>552</v>
      </c>
      <c r="H25" s="30"/>
      <c r="I25" s="30"/>
    </row>
    <row r="26" spans="1:11" x14ac:dyDescent="0.35">
      <c r="H26" s="30"/>
      <c r="I26" s="30"/>
    </row>
    <row r="27" spans="1:11" x14ac:dyDescent="0.35">
      <c r="H27" s="30"/>
      <c r="I27" s="30"/>
      <c r="J27" s="30"/>
      <c r="K27" s="30"/>
    </row>
    <row r="28" spans="1:11" x14ac:dyDescent="0.35">
      <c r="G28" s="30"/>
      <c r="H28" s="30"/>
      <c r="I28" s="30"/>
      <c r="J28" s="30"/>
    </row>
    <row r="29" spans="1:11" x14ac:dyDescent="0.35">
      <c r="G29" s="30"/>
      <c r="H29" s="30"/>
      <c r="I29" s="30"/>
      <c r="J29" s="30"/>
    </row>
    <row r="30" spans="1:11" x14ac:dyDescent="0.35">
      <c r="G30" s="30"/>
      <c r="H30" s="30"/>
      <c r="I30" s="30"/>
      <c r="J30" s="30"/>
    </row>
    <row r="31" spans="1:11" x14ac:dyDescent="0.35">
      <c r="G31" s="30"/>
      <c r="H31" s="30"/>
      <c r="I31" s="30"/>
      <c r="J31" s="30"/>
    </row>
    <row r="32" spans="1:11" x14ac:dyDescent="0.35">
      <c r="G32" s="30"/>
      <c r="H32" s="30"/>
      <c r="I32" s="30"/>
    </row>
    <row r="33" spans="7:11" x14ac:dyDescent="0.35">
      <c r="H33" s="30"/>
      <c r="I33" s="30"/>
    </row>
    <row r="34" spans="7:11" x14ac:dyDescent="0.35">
      <c r="H34" s="30"/>
      <c r="I34" s="30"/>
    </row>
    <row r="35" spans="7:11" x14ac:dyDescent="0.35">
      <c r="H35" s="30"/>
      <c r="I35" s="30"/>
    </row>
    <row r="36" spans="7:11" x14ac:dyDescent="0.35">
      <c r="H36" s="30"/>
      <c r="I36" s="30"/>
    </row>
    <row r="37" spans="7:11" x14ac:dyDescent="0.35">
      <c r="G37" s="30"/>
      <c r="H37" s="30"/>
      <c r="I37" s="30"/>
      <c r="J37" s="30"/>
      <c r="K37" s="30"/>
    </row>
    <row r="38" spans="7:11" x14ac:dyDescent="0.35">
      <c r="J38" s="30"/>
    </row>
    <row r="39" spans="7:11" x14ac:dyDescent="0.35">
      <c r="J39" s="30"/>
    </row>
    <row r="40" spans="7:11" x14ac:dyDescent="0.35">
      <c r="J40" s="30"/>
    </row>
    <row r="41" spans="7:11" x14ac:dyDescent="0.35">
      <c r="J41" s="30"/>
    </row>
  </sheetData>
  <mergeCells count="5">
    <mergeCell ref="A5:A6"/>
    <mergeCell ref="B5:B6"/>
    <mergeCell ref="C5:C6"/>
    <mergeCell ref="D5:D6"/>
    <mergeCell ref="E5:E6"/>
  </mergeCells>
  <pageMargins left="0.7" right="0.7" top="0.75" bottom="0.75" header="0.3" footer="0.3"/>
  <ignoredErrors>
    <ignoredError sqref="E17" evalError="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6099-0937-45B7-90C1-D9AADB63224D}">
  <dimension ref="A1:AG55"/>
  <sheetViews>
    <sheetView zoomScale="86" zoomScaleNormal="86" workbookViewId="0">
      <selection activeCell="H2" sqref="H2"/>
    </sheetView>
  </sheetViews>
  <sheetFormatPr baseColWidth="10" defaultColWidth="8.81640625" defaultRowHeight="14.5" x14ac:dyDescent="0.35"/>
  <cols>
    <col min="1" max="1" width="12.7265625" customWidth="1"/>
    <col min="6" max="6" width="13.453125" customWidth="1"/>
    <col min="9" max="9" width="13.1796875" bestFit="1" customWidth="1"/>
    <col min="11" max="11" width="13.08984375" customWidth="1"/>
    <col min="16" max="16" width="12.81640625" customWidth="1"/>
    <col min="21" max="21" width="12.54296875" customWidth="1"/>
    <col min="26" max="26" width="12.81640625" customWidth="1"/>
  </cols>
  <sheetData>
    <row r="1" spans="2:33" ht="15" thickBot="1" x14ac:dyDescent="0.4"/>
    <row r="2" spans="2:33" ht="23.5" x14ac:dyDescent="0.55000000000000004">
      <c r="D2" s="155" t="s">
        <v>43</v>
      </c>
      <c r="E2" s="156"/>
      <c r="F2" s="157"/>
      <c r="H2" t="s">
        <v>484</v>
      </c>
    </row>
    <row r="3" spans="2:33" ht="23.5" x14ac:dyDescent="0.55000000000000004">
      <c r="D3" s="32"/>
      <c r="E3" s="31"/>
      <c r="F3" s="31"/>
    </row>
    <row r="4" spans="2:33" x14ac:dyDescent="0.35">
      <c r="B4" s="161" t="s">
        <v>1</v>
      </c>
      <c r="C4" s="162"/>
      <c r="D4" s="162" t="s">
        <v>2</v>
      </c>
      <c r="E4" s="163"/>
    </row>
    <row r="6" spans="2:33" x14ac:dyDescent="0.35">
      <c r="B6" s="33" t="s">
        <v>3</v>
      </c>
      <c r="C6" s="34" t="s">
        <v>4</v>
      </c>
      <c r="D6" s="39" t="s">
        <v>3</v>
      </c>
      <c r="E6" s="34" t="s">
        <v>4</v>
      </c>
    </row>
    <row r="7" spans="2:33" x14ac:dyDescent="0.35">
      <c r="B7" s="35" t="s">
        <v>44</v>
      </c>
      <c r="C7" s="36">
        <v>1.4574</v>
      </c>
      <c r="D7" s="40" t="s">
        <v>45</v>
      </c>
      <c r="E7" s="36">
        <v>1.4525999999999999</v>
      </c>
    </row>
    <row r="8" spans="2:33" x14ac:dyDescent="0.35">
      <c r="B8" s="35" t="s">
        <v>44</v>
      </c>
      <c r="C8" s="37">
        <v>1.4593</v>
      </c>
      <c r="D8" s="40" t="s">
        <v>45</v>
      </c>
      <c r="E8" s="37">
        <v>1.4498</v>
      </c>
    </row>
    <row r="9" spans="2:33" x14ac:dyDescent="0.35">
      <c r="B9" s="35" t="s">
        <v>44</v>
      </c>
      <c r="C9" s="37">
        <v>1.4583999999999999</v>
      </c>
      <c r="D9" s="40" t="s">
        <v>45</v>
      </c>
      <c r="E9" s="37">
        <v>1.4578</v>
      </c>
    </row>
    <row r="10" spans="2:33" x14ac:dyDescent="0.35">
      <c r="B10" s="35" t="s">
        <v>44</v>
      </c>
      <c r="C10" s="37">
        <v>1.46</v>
      </c>
      <c r="D10" s="40" t="s">
        <v>45</v>
      </c>
      <c r="E10" s="37">
        <v>1.4636</v>
      </c>
    </row>
    <row r="11" spans="2:33" x14ac:dyDescent="0.35">
      <c r="B11" s="44" t="s">
        <v>44</v>
      </c>
      <c r="C11" s="38">
        <v>1.4565999999999999</v>
      </c>
      <c r="D11" s="46" t="s">
        <v>45</v>
      </c>
      <c r="E11" s="38">
        <v>1.4556</v>
      </c>
    </row>
    <row r="12" spans="2:33" ht="15" thickBot="1" x14ac:dyDescent="0.4">
      <c r="C12" s="30"/>
      <c r="D12" s="30"/>
    </row>
    <row r="13" spans="2:33" ht="15" thickBot="1" x14ac:dyDescent="0.4">
      <c r="B13" s="193" t="s">
        <v>7</v>
      </c>
      <c r="C13" s="194"/>
      <c r="D13" s="45"/>
      <c r="E13" s="45"/>
      <c r="F13" s="45"/>
      <c r="G13" s="45"/>
      <c r="H13" s="45"/>
      <c r="I13" s="45"/>
      <c r="J13" s="45"/>
      <c r="K13" s="45"/>
      <c r="L13" s="194" t="s">
        <v>8</v>
      </c>
      <c r="M13" s="194"/>
      <c r="N13" s="45"/>
      <c r="O13" s="45"/>
      <c r="P13" s="45"/>
      <c r="Q13" s="45"/>
      <c r="R13" s="45"/>
      <c r="S13" s="45"/>
      <c r="T13" s="45"/>
      <c r="U13" s="45"/>
      <c r="V13" s="194" t="s">
        <v>9</v>
      </c>
      <c r="W13" s="194"/>
      <c r="X13" s="45"/>
      <c r="Y13" s="45"/>
      <c r="Z13" s="45"/>
      <c r="AA13" s="45"/>
      <c r="AB13" s="45"/>
      <c r="AC13" s="45"/>
      <c r="AD13" s="110"/>
      <c r="AE13" s="16"/>
      <c r="AF13" s="160"/>
      <c r="AG13" s="160"/>
    </row>
    <row r="14" spans="2:33" ht="15" thickBot="1" x14ac:dyDescent="0.4">
      <c r="B14" t="s">
        <v>10</v>
      </c>
      <c r="G14" t="s">
        <v>11</v>
      </c>
      <c r="L14" t="s">
        <v>10</v>
      </c>
      <c r="Q14" t="s">
        <v>11</v>
      </c>
      <c r="V14" t="s">
        <v>46</v>
      </c>
      <c r="AA14" t="s">
        <v>47</v>
      </c>
    </row>
    <row r="15" spans="2:33" ht="15" thickBot="1" x14ac:dyDescent="0.4">
      <c r="B15" s="12" t="s">
        <v>1</v>
      </c>
      <c r="C15" s="1" t="s">
        <v>48</v>
      </c>
      <c r="D15" s="1" t="s">
        <v>13</v>
      </c>
      <c r="E15" s="68">
        <v>46072</v>
      </c>
      <c r="G15" s="12" t="s">
        <v>1</v>
      </c>
      <c r="H15" s="1" t="s">
        <v>48</v>
      </c>
      <c r="I15" s="2" t="s">
        <v>13</v>
      </c>
      <c r="L15" s="12" t="s">
        <v>1</v>
      </c>
      <c r="M15" s="1" t="s">
        <v>48</v>
      </c>
      <c r="N15" s="1" t="s">
        <v>13</v>
      </c>
      <c r="O15" s="68">
        <v>46072</v>
      </c>
      <c r="Q15" s="12" t="s">
        <v>1</v>
      </c>
      <c r="R15" s="1" t="s">
        <v>48</v>
      </c>
      <c r="S15" s="2" t="s">
        <v>13</v>
      </c>
      <c r="V15" s="12" t="s">
        <v>1</v>
      </c>
      <c r="W15" s="1" t="s">
        <v>48</v>
      </c>
      <c r="X15" s="1" t="s">
        <v>13</v>
      </c>
      <c r="Y15" s="68">
        <v>46072</v>
      </c>
      <c r="AA15" s="12" t="s">
        <v>1</v>
      </c>
      <c r="AB15" s="1" t="s">
        <v>48</v>
      </c>
      <c r="AC15" s="2" t="s">
        <v>13</v>
      </c>
    </row>
    <row r="16" spans="2:33" ht="15" thickBot="1" x14ac:dyDescent="0.4"/>
    <row r="17" spans="1:33" ht="15" thickBot="1" x14ac:dyDescent="0.4">
      <c r="B17" s="6" t="s">
        <v>3</v>
      </c>
      <c r="C17" s="7" t="s">
        <v>4</v>
      </c>
      <c r="D17" s="7" t="s">
        <v>15</v>
      </c>
      <c r="E17" s="8" t="s">
        <v>16</v>
      </c>
      <c r="G17" s="6" t="s">
        <v>3</v>
      </c>
      <c r="H17" s="7" t="s">
        <v>4</v>
      </c>
      <c r="I17" s="8" t="s">
        <v>15</v>
      </c>
      <c r="L17" s="6" t="s">
        <v>3</v>
      </c>
      <c r="M17" s="7" t="s">
        <v>4</v>
      </c>
      <c r="N17" s="7" t="s">
        <v>15</v>
      </c>
      <c r="O17" s="8" t="s">
        <v>16</v>
      </c>
      <c r="Q17" s="6" t="s">
        <v>3</v>
      </c>
      <c r="R17" s="7" t="s">
        <v>4</v>
      </c>
      <c r="S17" s="8" t="s">
        <v>15</v>
      </c>
      <c r="V17" s="6" t="s">
        <v>3</v>
      </c>
      <c r="W17" s="7" t="s">
        <v>4</v>
      </c>
      <c r="X17" s="7" t="s">
        <v>15</v>
      </c>
      <c r="Y17" s="8" t="s">
        <v>16</v>
      </c>
      <c r="AA17" s="6" t="s">
        <v>3</v>
      </c>
      <c r="AB17" s="7" t="s">
        <v>4</v>
      </c>
      <c r="AC17" s="8" t="s">
        <v>15</v>
      </c>
    </row>
    <row r="18" spans="1:33" x14ac:dyDescent="0.35">
      <c r="A18" t="s">
        <v>17</v>
      </c>
      <c r="B18" s="9" t="s">
        <v>50</v>
      </c>
      <c r="C18" s="19">
        <v>1.4611000000000001</v>
      </c>
      <c r="D18" s="19">
        <v>1.4854000000000001</v>
      </c>
      <c r="E18" s="20">
        <v>1.4704999999999999</v>
      </c>
      <c r="F18" t="s">
        <v>17</v>
      </c>
      <c r="G18" s="9" t="s">
        <v>51</v>
      </c>
      <c r="H18" s="19">
        <v>1.4594</v>
      </c>
      <c r="I18" s="20">
        <v>1.4796</v>
      </c>
      <c r="K18" t="s">
        <v>17</v>
      </c>
      <c r="L18" s="9" t="s">
        <v>52</v>
      </c>
      <c r="M18" s="19">
        <v>1.4583999999999999</v>
      </c>
      <c r="N18" s="19">
        <v>1.4885999999999999</v>
      </c>
      <c r="O18" s="20">
        <v>1.4681999999999999</v>
      </c>
      <c r="P18" t="s">
        <v>17</v>
      </c>
      <c r="Q18" s="9" t="s">
        <v>53</v>
      </c>
      <c r="R18" s="19">
        <v>1.4625999999999999</v>
      </c>
      <c r="S18" s="20">
        <v>1.4928999999999999</v>
      </c>
      <c r="U18" t="s">
        <v>17</v>
      </c>
      <c r="V18" s="9" t="s">
        <v>54</v>
      </c>
      <c r="W18" s="19">
        <v>1.45</v>
      </c>
      <c r="X18" s="19">
        <v>1.4883</v>
      </c>
      <c r="Y18" s="20">
        <v>1.4669000000000001</v>
      </c>
      <c r="Z18" t="s">
        <v>17</v>
      </c>
      <c r="AA18" s="9" t="s">
        <v>55</v>
      </c>
      <c r="AB18" s="19">
        <v>1.4559</v>
      </c>
      <c r="AC18" s="20">
        <v>1.4955000000000001</v>
      </c>
      <c r="AG18" s="107"/>
    </row>
    <row r="19" spans="1:33" x14ac:dyDescent="0.35">
      <c r="A19" t="s">
        <v>24</v>
      </c>
      <c r="B19" s="10" t="s">
        <v>50</v>
      </c>
      <c r="C19" s="21">
        <v>1.4515</v>
      </c>
      <c r="D19" s="21">
        <v>1.4716</v>
      </c>
      <c r="E19" s="22">
        <v>1.4563999999999999</v>
      </c>
      <c r="F19" t="s">
        <v>24</v>
      </c>
      <c r="G19" s="10" t="s">
        <v>51</v>
      </c>
      <c r="H19" s="21">
        <v>1.4527000000000001</v>
      </c>
      <c r="I19" s="22">
        <v>1.4748000000000001</v>
      </c>
      <c r="K19" t="s">
        <v>24</v>
      </c>
      <c r="L19" s="10" t="s">
        <v>52</v>
      </c>
      <c r="M19" s="21">
        <v>1.4651000000000001</v>
      </c>
      <c r="N19" s="21">
        <v>1.494</v>
      </c>
      <c r="O19" s="22">
        <v>1.4661999999999999</v>
      </c>
      <c r="P19" t="s">
        <v>24</v>
      </c>
      <c r="Q19" s="10" t="s">
        <v>53</v>
      </c>
      <c r="R19" s="21">
        <v>1.4608000000000001</v>
      </c>
      <c r="S19" s="22">
        <v>1.4924999999999999</v>
      </c>
      <c r="U19" t="s">
        <v>24</v>
      </c>
      <c r="V19" s="10" t="s">
        <v>54</v>
      </c>
      <c r="W19" s="21">
        <v>1.4511000000000001</v>
      </c>
      <c r="X19" s="21">
        <v>1.4895</v>
      </c>
      <c r="Y19" s="22">
        <v>1.4641</v>
      </c>
      <c r="Z19" t="s">
        <v>24</v>
      </c>
      <c r="AA19" s="10" t="s">
        <v>55</v>
      </c>
      <c r="AB19" s="21">
        <v>1.4646999999999999</v>
      </c>
      <c r="AC19" s="22">
        <v>1.5089999999999999</v>
      </c>
      <c r="AG19" s="107"/>
    </row>
    <row r="20" spans="1:33" x14ac:dyDescent="0.35">
      <c r="A20" t="s">
        <v>24</v>
      </c>
      <c r="B20" s="10" t="s">
        <v>50</v>
      </c>
      <c r="C20" s="21">
        <v>1.4578</v>
      </c>
      <c r="D20" s="21">
        <v>1.4826999999999999</v>
      </c>
      <c r="E20" s="22">
        <v>1.4664999999999999</v>
      </c>
      <c r="F20" t="s">
        <v>24</v>
      </c>
      <c r="G20" s="10" t="s">
        <v>51</v>
      </c>
      <c r="H20" s="21">
        <v>1.4585999999999999</v>
      </c>
      <c r="I20" s="22">
        <v>1.4815</v>
      </c>
      <c r="K20" t="s">
        <v>24</v>
      </c>
      <c r="L20" s="10" t="s">
        <v>52</v>
      </c>
      <c r="M20" s="21">
        <v>1.4510000000000001</v>
      </c>
      <c r="N20" s="21">
        <v>1.4811000000000001</v>
      </c>
      <c r="O20" s="22">
        <v>1.4594</v>
      </c>
      <c r="P20" t="s">
        <v>24</v>
      </c>
      <c r="Q20" s="10" t="s">
        <v>53</v>
      </c>
      <c r="R20" s="21">
        <v>1.4579</v>
      </c>
      <c r="S20" s="22">
        <v>1.486</v>
      </c>
      <c r="U20" t="s">
        <v>24</v>
      </c>
      <c r="V20" s="10" t="s">
        <v>54</v>
      </c>
      <c r="W20" s="21">
        <v>1.4518</v>
      </c>
      <c r="X20" s="21">
        <v>1.4865999999999999</v>
      </c>
      <c r="Y20" s="22">
        <v>1.4632000000000001</v>
      </c>
      <c r="Z20" t="s">
        <v>24</v>
      </c>
      <c r="AA20" s="10" t="s">
        <v>55</v>
      </c>
      <c r="AB20" s="21">
        <v>1.4614</v>
      </c>
      <c r="AC20" s="22">
        <v>1.5029999999999999</v>
      </c>
      <c r="AG20" s="107"/>
    </row>
    <row r="21" spans="1:33" x14ac:dyDescent="0.35">
      <c r="A21" t="s">
        <v>24</v>
      </c>
      <c r="B21" s="10" t="s">
        <v>50</v>
      </c>
      <c r="C21" s="21">
        <v>1.4668000000000001</v>
      </c>
      <c r="D21" s="21">
        <v>1.4988999999999999</v>
      </c>
      <c r="E21" s="22">
        <v>1.4751000000000001</v>
      </c>
      <c r="F21" t="s">
        <v>24</v>
      </c>
      <c r="G21" s="10" t="s">
        <v>51</v>
      </c>
      <c r="H21" s="21">
        <v>1.4472</v>
      </c>
      <c r="I21" s="22">
        <v>1.4703999999999999</v>
      </c>
      <c r="K21" t="s">
        <v>24</v>
      </c>
      <c r="L21" s="10" t="s">
        <v>52</v>
      </c>
      <c r="M21" s="21">
        <v>1.4514</v>
      </c>
      <c r="N21" s="21">
        <v>1.4802</v>
      </c>
      <c r="O21" s="22">
        <v>1.4594</v>
      </c>
      <c r="P21" t="s">
        <v>24</v>
      </c>
      <c r="Q21" s="10" t="s">
        <v>53</v>
      </c>
      <c r="R21" s="21">
        <v>1.4576</v>
      </c>
      <c r="S21" s="22">
        <v>1.4905999999999999</v>
      </c>
      <c r="U21" t="s">
        <v>24</v>
      </c>
      <c r="V21" s="10" t="s">
        <v>54</v>
      </c>
      <c r="W21" s="21">
        <v>1.4641999999999999</v>
      </c>
      <c r="X21" s="21">
        <v>1.5036</v>
      </c>
      <c r="Y21" s="22">
        <v>1.4794</v>
      </c>
      <c r="Z21" t="s">
        <v>24</v>
      </c>
      <c r="AA21" s="10" t="s">
        <v>55</v>
      </c>
      <c r="AB21" s="21">
        <v>1.4578</v>
      </c>
      <c r="AC21" s="22">
        <v>1.5073000000000001</v>
      </c>
      <c r="AG21" s="107"/>
    </row>
    <row r="22" spans="1:33" ht="15" thickBot="1" x14ac:dyDescent="0.4">
      <c r="A22" t="s">
        <v>24</v>
      </c>
      <c r="B22" s="11" t="s">
        <v>50</v>
      </c>
      <c r="C22" s="23">
        <v>1.4536</v>
      </c>
      <c r="D22" s="23">
        <v>1.4724999999999999</v>
      </c>
      <c r="E22" s="24">
        <v>1.4591000000000001</v>
      </c>
      <c r="F22" t="s">
        <v>24</v>
      </c>
      <c r="G22" s="11" t="s">
        <v>51</v>
      </c>
      <c r="H22" s="23">
        <v>1.4656</v>
      </c>
      <c r="I22" s="24">
        <v>1.4912000000000001</v>
      </c>
      <c r="K22" t="s">
        <v>24</v>
      </c>
      <c r="L22" s="11" t="s">
        <v>52</v>
      </c>
      <c r="M22" s="23">
        <v>1.4487000000000001</v>
      </c>
      <c r="N22" s="23">
        <v>1.4772000000000001</v>
      </c>
      <c r="O22" s="24">
        <v>1.4575</v>
      </c>
      <c r="P22" t="s">
        <v>24</v>
      </c>
      <c r="Q22" s="11" t="s">
        <v>53</v>
      </c>
      <c r="R22" s="23">
        <v>1.446</v>
      </c>
      <c r="S22" s="24">
        <v>1.4729000000000001</v>
      </c>
      <c r="U22" t="s">
        <v>24</v>
      </c>
      <c r="V22" s="11" t="s">
        <v>54</v>
      </c>
      <c r="W22" s="23">
        <v>1.4555</v>
      </c>
      <c r="X22" s="23">
        <v>1.4946999999999999</v>
      </c>
      <c r="Y22" s="24">
        <v>1.47</v>
      </c>
      <c r="Z22" t="s">
        <v>24</v>
      </c>
      <c r="AA22" s="11" t="s">
        <v>55</v>
      </c>
      <c r="AB22" s="23">
        <v>1.444</v>
      </c>
      <c r="AC22" s="24">
        <v>1.4872000000000001</v>
      </c>
      <c r="AG22" s="107"/>
    </row>
    <row r="23" spans="1:33" x14ac:dyDescent="0.35">
      <c r="M23" s="30"/>
      <c r="N23" s="30"/>
      <c r="O23" s="30"/>
    </row>
    <row r="24" spans="1:33" ht="15" thickBot="1" x14ac:dyDescent="0.4"/>
    <row r="25" spans="1:33" ht="15" thickBot="1" x14ac:dyDescent="0.4">
      <c r="B25" s="12" t="s">
        <v>1</v>
      </c>
      <c r="C25" s="1" t="s">
        <v>48</v>
      </c>
      <c r="D25" s="49">
        <v>46090</v>
      </c>
      <c r="E25" s="68">
        <v>46092</v>
      </c>
      <c r="G25" s="12" t="s">
        <v>1</v>
      </c>
      <c r="H25" s="1" t="s">
        <v>48</v>
      </c>
      <c r="I25" s="68">
        <v>46090</v>
      </c>
      <c r="L25" s="12" t="s">
        <v>1</v>
      </c>
      <c r="M25" s="1" t="s">
        <v>48</v>
      </c>
      <c r="N25" s="49">
        <v>46090</v>
      </c>
      <c r="O25" s="68">
        <v>46092</v>
      </c>
      <c r="Q25" s="12" t="s">
        <v>1</v>
      </c>
      <c r="R25" s="1" t="s">
        <v>48</v>
      </c>
      <c r="S25" s="68">
        <v>46090</v>
      </c>
      <c r="V25" s="12" t="s">
        <v>1</v>
      </c>
      <c r="W25" s="1" t="s">
        <v>48</v>
      </c>
      <c r="X25" s="49">
        <v>46090</v>
      </c>
      <c r="Y25" s="68">
        <v>46092</v>
      </c>
      <c r="AA25" s="12" t="s">
        <v>1</v>
      </c>
      <c r="AB25" s="1" t="s">
        <v>48</v>
      </c>
      <c r="AC25" s="68">
        <v>46090</v>
      </c>
    </row>
    <row r="26" spans="1:33" ht="15" thickBot="1" x14ac:dyDescent="0.4"/>
    <row r="27" spans="1:33" ht="15" thickBot="1" x14ac:dyDescent="0.4">
      <c r="B27" s="6" t="s">
        <v>3</v>
      </c>
      <c r="C27" s="7" t="s">
        <v>4</v>
      </c>
      <c r="D27" s="7" t="s">
        <v>15</v>
      </c>
      <c r="E27" s="8" t="s">
        <v>16</v>
      </c>
      <c r="G27" s="6" t="s">
        <v>3</v>
      </c>
      <c r="H27" s="7" t="s">
        <v>4</v>
      </c>
      <c r="I27" s="8" t="s">
        <v>15</v>
      </c>
      <c r="L27" s="6" t="s">
        <v>3</v>
      </c>
      <c r="M27" s="7" t="s">
        <v>4</v>
      </c>
      <c r="N27" s="7" t="s">
        <v>15</v>
      </c>
      <c r="O27" s="8" t="s">
        <v>16</v>
      </c>
      <c r="Q27" s="6" t="s">
        <v>3</v>
      </c>
      <c r="R27" s="7" t="s">
        <v>4</v>
      </c>
      <c r="S27" s="8" t="s">
        <v>15</v>
      </c>
      <c r="V27" s="3" t="s">
        <v>3</v>
      </c>
      <c r="W27" s="4" t="s">
        <v>4</v>
      </c>
      <c r="X27" s="4" t="s">
        <v>15</v>
      </c>
      <c r="Y27" s="5" t="s">
        <v>16</v>
      </c>
      <c r="AA27" s="3" t="s">
        <v>3</v>
      </c>
      <c r="AB27" s="4" t="s">
        <v>4</v>
      </c>
      <c r="AC27" s="5" t="s">
        <v>15</v>
      </c>
    </row>
    <row r="28" spans="1:33" x14ac:dyDescent="0.35">
      <c r="A28" t="s">
        <v>17</v>
      </c>
      <c r="B28" s="9" t="s">
        <v>56</v>
      </c>
      <c r="C28" s="19">
        <v>1.4589000000000001</v>
      </c>
      <c r="D28" s="19">
        <v>1.4876</v>
      </c>
      <c r="E28" s="20">
        <v>1.4661</v>
      </c>
      <c r="F28" t="s">
        <v>17</v>
      </c>
      <c r="G28" s="9" t="s">
        <v>57</v>
      </c>
      <c r="H28" s="19">
        <v>1.4659</v>
      </c>
      <c r="I28" s="20">
        <v>1.4865999999999999</v>
      </c>
      <c r="K28" t="s">
        <v>17</v>
      </c>
      <c r="L28" s="9" t="s">
        <v>58</v>
      </c>
      <c r="M28" s="19">
        <v>1.4556</v>
      </c>
      <c r="N28" s="19">
        <v>1.488</v>
      </c>
      <c r="O28" s="20">
        <v>1.4681</v>
      </c>
      <c r="P28" t="s">
        <v>17</v>
      </c>
      <c r="Q28" s="9" t="s">
        <v>59</v>
      </c>
      <c r="R28" s="19">
        <v>1.4452</v>
      </c>
      <c r="S28" s="20">
        <v>1.4751000000000001</v>
      </c>
      <c r="U28" t="s">
        <v>17</v>
      </c>
      <c r="V28" s="13" t="s">
        <v>60</v>
      </c>
      <c r="W28" s="25">
        <v>1.4548000000000001</v>
      </c>
      <c r="X28" s="25">
        <v>1.4977</v>
      </c>
      <c r="Y28" s="26">
        <v>1.4662999999999999</v>
      </c>
      <c r="Z28" t="s">
        <v>17</v>
      </c>
      <c r="AA28" s="13" t="s">
        <v>61</v>
      </c>
      <c r="AB28" s="25">
        <v>1.4642999999999999</v>
      </c>
      <c r="AC28" s="26">
        <v>1.5088999999999999</v>
      </c>
      <c r="AG28" s="107"/>
    </row>
    <row r="29" spans="1:33" x14ac:dyDescent="0.35">
      <c r="A29" t="s">
        <v>24</v>
      </c>
      <c r="B29" s="10" t="s">
        <v>56</v>
      </c>
      <c r="C29" s="21">
        <v>1.4538</v>
      </c>
      <c r="D29" s="21">
        <v>1.4759</v>
      </c>
      <c r="E29" s="22">
        <v>1.4539</v>
      </c>
      <c r="F29" t="s">
        <v>24</v>
      </c>
      <c r="G29" s="10" t="s">
        <v>57</v>
      </c>
      <c r="H29" s="21">
        <v>1.4646999999999999</v>
      </c>
      <c r="I29" s="22">
        <v>1.4863999999999999</v>
      </c>
      <c r="K29" t="s">
        <v>24</v>
      </c>
      <c r="L29" s="10" t="s">
        <v>58</v>
      </c>
      <c r="M29" s="21">
        <v>1.4556</v>
      </c>
      <c r="N29" s="21">
        <v>1.4905999999999999</v>
      </c>
      <c r="O29" s="22">
        <v>1.4688000000000001</v>
      </c>
      <c r="P29" t="s">
        <v>24</v>
      </c>
      <c r="Q29" s="10" t="s">
        <v>59</v>
      </c>
      <c r="R29" s="21">
        <v>1.4632000000000001</v>
      </c>
      <c r="S29" s="22">
        <v>1.4952000000000001</v>
      </c>
      <c r="U29" t="s">
        <v>24</v>
      </c>
      <c r="V29" s="10" t="s">
        <v>60</v>
      </c>
      <c r="W29" s="21">
        <v>1.4657</v>
      </c>
      <c r="X29" s="21">
        <v>1.5111000000000001</v>
      </c>
      <c r="Y29" s="22">
        <v>1.4718</v>
      </c>
      <c r="Z29" t="s">
        <v>24</v>
      </c>
      <c r="AA29" s="10" t="s">
        <v>61</v>
      </c>
      <c r="AB29" s="21">
        <v>1.4610000000000001</v>
      </c>
      <c r="AC29" s="22">
        <v>1.5035000000000001</v>
      </c>
      <c r="AG29" s="107"/>
    </row>
    <row r="30" spans="1:33" x14ac:dyDescent="0.35">
      <c r="A30" t="s">
        <v>24</v>
      </c>
      <c r="B30" s="10" t="s">
        <v>56</v>
      </c>
      <c r="C30" s="21">
        <v>1.45</v>
      </c>
      <c r="D30" s="21">
        <v>1.4741</v>
      </c>
      <c r="E30" s="22">
        <v>1.4639</v>
      </c>
      <c r="F30" t="s">
        <v>24</v>
      </c>
      <c r="G30" s="10" t="s">
        <v>57</v>
      </c>
      <c r="H30" s="21">
        <v>1.4596</v>
      </c>
      <c r="I30" s="22">
        <v>1.4812000000000001</v>
      </c>
      <c r="K30" t="s">
        <v>24</v>
      </c>
      <c r="L30" s="10" t="s">
        <v>58</v>
      </c>
      <c r="M30" s="21">
        <v>1.4564999999999999</v>
      </c>
      <c r="N30" s="21">
        <v>1.4872000000000001</v>
      </c>
      <c r="O30" s="22">
        <v>1.4644999999999999</v>
      </c>
      <c r="P30" t="s">
        <v>24</v>
      </c>
      <c r="Q30" s="10" t="s">
        <v>59</v>
      </c>
      <c r="R30" s="21">
        <v>1.4602999999999999</v>
      </c>
      <c r="S30" s="22">
        <v>1.4926999999999999</v>
      </c>
      <c r="U30" t="s">
        <v>24</v>
      </c>
      <c r="V30" s="10" t="s">
        <v>60</v>
      </c>
      <c r="W30" s="21">
        <v>1.4547000000000001</v>
      </c>
      <c r="X30" s="21">
        <v>1.5019</v>
      </c>
      <c r="Y30" s="22">
        <v>1.4705999999999999</v>
      </c>
      <c r="Z30" t="s">
        <v>24</v>
      </c>
      <c r="AA30" s="10" t="s">
        <v>61</v>
      </c>
      <c r="AB30" s="21">
        <v>1.4514</v>
      </c>
      <c r="AC30" s="22">
        <v>1.4937</v>
      </c>
      <c r="AG30" s="107"/>
    </row>
    <row r="31" spans="1:33" x14ac:dyDescent="0.35">
      <c r="A31" t="s">
        <v>24</v>
      </c>
      <c r="B31" s="10" t="s">
        <v>56</v>
      </c>
      <c r="C31" s="21">
        <v>1.4630000000000001</v>
      </c>
      <c r="D31" s="21">
        <v>1.4903</v>
      </c>
      <c r="E31" s="22">
        <v>1.4710000000000001</v>
      </c>
      <c r="F31" t="s">
        <v>24</v>
      </c>
      <c r="G31" s="10" t="s">
        <v>57</v>
      </c>
      <c r="H31" s="21">
        <v>1.4565999999999999</v>
      </c>
      <c r="I31" s="22">
        <v>1.4807999999999999</v>
      </c>
      <c r="K31" t="s">
        <v>24</v>
      </c>
      <c r="L31" s="10" t="s">
        <v>58</v>
      </c>
      <c r="M31" s="21">
        <v>1.4545999999999999</v>
      </c>
      <c r="N31" s="21">
        <v>1.4804999999999999</v>
      </c>
      <c r="O31" s="22">
        <v>1.4632000000000001</v>
      </c>
      <c r="P31" t="s">
        <v>24</v>
      </c>
      <c r="Q31" s="10" t="s">
        <v>59</v>
      </c>
      <c r="R31" s="21">
        <v>1.4536</v>
      </c>
      <c r="S31" s="22">
        <v>1.4851000000000001</v>
      </c>
      <c r="U31" t="s">
        <v>24</v>
      </c>
      <c r="V31" s="10" t="s">
        <v>60</v>
      </c>
      <c r="W31" s="21">
        <v>1.4618</v>
      </c>
      <c r="X31" s="21">
        <v>1.4995000000000001</v>
      </c>
      <c r="Y31" s="22">
        <v>1.4685999999999999</v>
      </c>
      <c r="Z31" t="s">
        <v>24</v>
      </c>
      <c r="AA31" s="10" t="s">
        <v>61</v>
      </c>
      <c r="AB31" s="21">
        <v>1.4628000000000001</v>
      </c>
      <c r="AC31" s="22">
        <v>1.5038</v>
      </c>
      <c r="AG31" s="107"/>
    </row>
    <row r="32" spans="1:33" ht="15" thickBot="1" x14ac:dyDescent="0.4">
      <c r="A32" t="s">
        <v>24</v>
      </c>
      <c r="B32" s="11" t="s">
        <v>56</v>
      </c>
      <c r="C32" s="23">
        <v>1.4543999999999999</v>
      </c>
      <c r="D32" s="23">
        <v>1.4774</v>
      </c>
      <c r="E32" s="24">
        <v>1.4621999999999999</v>
      </c>
      <c r="F32" t="s">
        <v>24</v>
      </c>
      <c r="G32" s="11" t="s">
        <v>57</v>
      </c>
      <c r="H32" s="23">
        <v>1.4484999999999999</v>
      </c>
      <c r="I32" s="24">
        <v>1.4685999999999999</v>
      </c>
      <c r="K32" t="s">
        <v>24</v>
      </c>
      <c r="L32" s="11" t="s">
        <v>58</v>
      </c>
      <c r="M32" s="23">
        <v>1.4581</v>
      </c>
      <c r="N32" s="23">
        <v>1.4910000000000001</v>
      </c>
      <c r="O32" s="24">
        <v>1.4602999999999999</v>
      </c>
      <c r="P32" t="s">
        <v>24</v>
      </c>
      <c r="Q32" s="11" t="s">
        <v>59</v>
      </c>
      <c r="R32" s="23">
        <v>1.4563999999999999</v>
      </c>
      <c r="S32" s="24">
        <v>1.4815</v>
      </c>
      <c r="U32" t="s">
        <v>24</v>
      </c>
      <c r="V32" s="11" t="s">
        <v>60</v>
      </c>
      <c r="W32" s="23">
        <v>1.4603999999999999</v>
      </c>
      <c r="X32" s="23">
        <v>1.5017</v>
      </c>
      <c r="Y32" s="24">
        <v>1.4689000000000001</v>
      </c>
      <c r="Z32" t="s">
        <v>24</v>
      </c>
      <c r="AA32" s="11" t="s">
        <v>61</v>
      </c>
      <c r="AB32" s="23">
        <v>1.4621999999999999</v>
      </c>
      <c r="AC32" s="24">
        <v>1.5049999999999999</v>
      </c>
      <c r="AG32" s="107"/>
    </row>
    <row r="34" spans="1:33" ht="15" thickBot="1" x14ac:dyDescent="0.4"/>
    <row r="35" spans="1:33" ht="15" thickBot="1" x14ac:dyDescent="0.4">
      <c r="B35" s="12" t="s">
        <v>1</v>
      </c>
      <c r="C35" s="1" t="s">
        <v>48</v>
      </c>
      <c r="D35" s="49">
        <v>46111</v>
      </c>
      <c r="E35" s="68">
        <v>46113</v>
      </c>
      <c r="G35" s="12" t="s">
        <v>1</v>
      </c>
      <c r="H35" s="1" t="s">
        <v>48</v>
      </c>
      <c r="I35" s="68">
        <v>46111</v>
      </c>
      <c r="L35" s="12" t="s">
        <v>1</v>
      </c>
      <c r="M35" s="1" t="s">
        <v>48</v>
      </c>
      <c r="N35" s="49">
        <v>46111</v>
      </c>
      <c r="O35" s="68">
        <v>46113</v>
      </c>
      <c r="Q35" s="12" t="s">
        <v>1</v>
      </c>
      <c r="R35" s="1" t="s">
        <v>48</v>
      </c>
      <c r="S35" s="68">
        <v>46111</v>
      </c>
      <c r="V35" s="12" t="s">
        <v>1</v>
      </c>
      <c r="W35" s="1" t="s">
        <v>48</v>
      </c>
      <c r="X35" s="49">
        <v>46111</v>
      </c>
      <c r="Y35" s="68">
        <v>46113</v>
      </c>
      <c r="AA35" s="12" t="s">
        <v>1</v>
      </c>
      <c r="AB35" s="1" t="s">
        <v>48</v>
      </c>
      <c r="AC35" s="68">
        <v>46111</v>
      </c>
    </row>
    <row r="36" spans="1:33" ht="15" thickBot="1" x14ac:dyDescent="0.4"/>
    <row r="37" spans="1:33" ht="15" thickBot="1" x14ac:dyDescent="0.4">
      <c r="B37" s="6" t="s">
        <v>3</v>
      </c>
      <c r="C37" s="7" t="s">
        <v>4</v>
      </c>
      <c r="D37" s="7" t="s">
        <v>15</v>
      </c>
      <c r="E37" s="8" t="s">
        <v>16</v>
      </c>
      <c r="G37" s="6" t="s">
        <v>3</v>
      </c>
      <c r="H37" s="7" t="s">
        <v>4</v>
      </c>
      <c r="I37" s="8" t="s">
        <v>15</v>
      </c>
      <c r="L37" s="6" t="s">
        <v>3</v>
      </c>
      <c r="M37" s="7" t="s">
        <v>4</v>
      </c>
      <c r="N37" s="7" t="s">
        <v>15</v>
      </c>
      <c r="O37" s="8" t="s">
        <v>16</v>
      </c>
      <c r="Q37" s="6" t="s">
        <v>3</v>
      </c>
      <c r="R37" s="7" t="s">
        <v>4</v>
      </c>
      <c r="S37" s="8" t="s">
        <v>15</v>
      </c>
      <c r="V37" s="3" t="s">
        <v>3</v>
      </c>
      <c r="W37" s="4" t="s">
        <v>4</v>
      </c>
      <c r="X37" s="4" t="s">
        <v>15</v>
      </c>
      <c r="Y37" s="5" t="s">
        <v>16</v>
      </c>
      <c r="AA37" s="3" t="s">
        <v>3</v>
      </c>
      <c r="AB37" s="4" t="s">
        <v>4</v>
      </c>
      <c r="AC37" s="5" t="s">
        <v>15</v>
      </c>
    </row>
    <row r="38" spans="1:33" x14ac:dyDescent="0.35">
      <c r="A38" t="s">
        <v>17</v>
      </c>
      <c r="B38" s="9" t="s">
        <v>62</v>
      </c>
      <c r="C38" s="19">
        <v>1.4488000000000001</v>
      </c>
      <c r="D38" s="19">
        <v>1.4752000000000001</v>
      </c>
      <c r="E38" s="20">
        <v>1.4641999999999999</v>
      </c>
      <c r="F38" t="s">
        <v>17</v>
      </c>
      <c r="G38" s="9" t="s">
        <v>63</v>
      </c>
      <c r="H38" s="19">
        <v>1.4583999999999999</v>
      </c>
      <c r="I38" s="20">
        <v>1.4906999999999999</v>
      </c>
      <c r="K38" t="s">
        <v>17</v>
      </c>
      <c r="L38" s="9" t="s">
        <v>64</v>
      </c>
      <c r="M38" s="19">
        <v>1.4575</v>
      </c>
      <c r="N38" s="19">
        <v>1.5551999999999999</v>
      </c>
      <c r="O38" s="20">
        <v>1.4681</v>
      </c>
      <c r="P38" t="s">
        <v>17</v>
      </c>
      <c r="Q38" s="9" t="s">
        <v>65</v>
      </c>
      <c r="R38" s="19">
        <v>1.4533</v>
      </c>
      <c r="S38" s="20">
        <v>1.4891000000000001</v>
      </c>
      <c r="U38" t="s">
        <v>17</v>
      </c>
      <c r="V38" s="13" t="s">
        <v>66</v>
      </c>
      <c r="W38" s="25">
        <v>1.4545999999999999</v>
      </c>
      <c r="X38" s="25">
        <v>1.4991000000000001</v>
      </c>
      <c r="Y38" s="26">
        <v>1.4658</v>
      </c>
      <c r="Z38" t="s">
        <v>17</v>
      </c>
      <c r="AA38" s="13" t="s">
        <v>67</v>
      </c>
      <c r="AB38" s="25">
        <v>1.4574</v>
      </c>
      <c r="AC38" s="26">
        <v>1.5095000000000001</v>
      </c>
      <c r="AG38" s="107"/>
    </row>
    <row r="39" spans="1:33" x14ac:dyDescent="0.35">
      <c r="A39" t="s">
        <v>24</v>
      </c>
      <c r="B39" s="10" t="s">
        <v>62</v>
      </c>
      <c r="C39" s="21">
        <v>1.4518</v>
      </c>
      <c r="D39" s="21">
        <v>1.4826999999999999</v>
      </c>
      <c r="E39" s="22">
        <v>1.4560999999999999</v>
      </c>
      <c r="F39" t="s">
        <v>24</v>
      </c>
      <c r="G39" s="10" t="s">
        <v>63</v>
      </c>
      <c r="H39" s="21">
        <v>1.4552</v>
      </c>
      <c r="I39" s="22">
        <v>1.5062</v>
      </c>
      <c r="K39" t="s">
        <v>24</v>
      </c>
      <c r="L39" s="10" t="s">
        <v>64</v>
      </c>
      <c r="M39" s="21">
        <v>1.4601</v>
      </c>
      <c r="N39" s="21">
        <v>1.5592999999999999</v>
      </c>
      <c r="O39" s="22">
        <v>1.47</v>
      </c>
      <c r="P39" t="s">
        <v>24</v>
      </c>
      <c r="Q39" s="10" t="s">
        <v>65</v>
      </c>
      <c r="R39" s="21">
        <v>1.4529000000000001</v>
      </c>
      <c r="S39" s="22">
        <v>1.4852000000000001</v>
      </c>
      <c r="U39" t="s">
        <v>24</v>
      </c>
      <c r="V39" s="10" t="s">
        <v>66</v>
      </c>
      <c r="W39" s="21">
        <v>1.4477</v>
      </c>
      <c r="X39" s="21">
        <v>1.4894000000000001</v>
      </c>
      <c r="Y39" s="22">
        <v>1.4738</v>
      </c>
      <c r="Z39" t="s">
        <v>24</v>
      </c>
      <c r="AA39" s="10" t="s">
        <v>67</v>
      </c>
      <c r="AB39" s="21">
        <v>1.4611000000000001</v>
      </c>
      <c r="AC39" s="22">
        <v>1.5082</v>
      </c>
      <c r="AG39" s="107"/>
    </row>
    <row r="40" spans="1:33" x14ac:dyDescent="0.35">
      <c r="A40" t="s">
        <v>24</v>
      </c>
      <c r="B40" s="10" t="s">
        <v>62</v>
      </c>
      <c r="C40" s="21">
        <v>1.4549000000000001</v>
      </c>
      <c r="D40" s="21">
        <v>1.5044</v>
      </c>
      <c r="E40" s="22">
        <v>1.4645999999999999</v>
      </c>
      <c r="F40" t="s">
        <v>24</v>
      </c>
      <c r="G40" s="10" t="s">
        <v>63</v>
      </c>
      <c r="H40" s="21">
        <v>1.4591000000000001</v>
      </c>
      <c r="I40" s="22">
        <v>1.4863</v>
      </c>
      <c r="K40" t="s">
        <v>24</v>
      </c>
      <c r="L40" s="10" t="s">
        <v>64</v>
      </c>
      <c r="M40" s="21">
        <v>1.4641999999999999</v>
      </c>
      <c r="N40" s="21">
        <v>1.4965999999999999</v>
      </c>
      <c r="O40" s="22">
        <v>1.4669000000000001</v>
      </c>
      <c r="P40" t="s">
        <v>24</v>
      </c>
      <c r="Q40" s="10" t="s">
        <v>65</v>
      </c>
      <c r="R40" s="21">
        <v>1.4579</v>
      </c>
      <c r="S40" s="22">
        <v>1.4901</v>
      </c>
      <c r="U40" t="s">
        <v>24</v>
      </c>
      <c r="V40" s="10" t="s">
        <v>66</v>
      </c>
      <c r="W40" s="21">
        <v>1.4644999999999999</v>
      </c>
      <c r="X40" s="21">
        <v>1.5076000000000001</v>
      </c>
      <c r="Y40" s="22">
        <v>1.4706999999999999</v>
      </c>
      <c r="Z40" t="s">
        <v>24</v>
      </c>
      <c r="AA40" s="10" t="s">
        <v>67</v>
      </c>
      <c r="AB40" s="21">
        <v>1.4509000000000001</v>
      </c>
      <c r="AC40" s="22">
        <v>1.5194000000000001</v>
      </c>
      <c r="AG40" s="107"/>
    </row>
    <row r="41" spans="1:33" x14ac:dyDescent="0.35">
      <c r="A41" t="s">
        <v>24</v>
      </c>
      <c r="B41" s="10" t="s">
        <v>62</v>
      </c>
      <c r="C41" s="21">
        <v>1.4486000000000001</v>
      </c>
      <c r="D41" s="21">
        <v>1.4761</v>
      </c>
      <c r="E41" s="22">
        <v>1.4730000000000001</v>
      </c>
      <c r="F41" t="s">
        <v>24</v>
      </c>
      <c r="G41" s="10" t="s">
        <v>63</v>
      </c>
      <c r="H41" s="21">
        <v>1.4542999999999999</v>
      </c>
      <c r="I41" s="22">
        <v>1.4801</v>
      </c>
      <c r="K41" t="s">
        <v>24</v>
      </c>
      <c r="L41" s="10" t="s">
        <v>64</v>
      </c>
      <c r="M41" s="21">
        <v>1.4468000000000001</v>
      </c>
      <c r="N41" s="21">
        <v>1.4743999999999999</v>
      </c>
      <c r="O41" s="22">
        <v>1.4634</v>
      </c>
      <c r="P41" t="s">
        <v>24</v>
      </c>
      <c r="Q41" s="10" t="s">
        <v>65</v>
      </c>
      <c r="R41" s="21">
        <v>1.4568000000000001</v>
      </c>
      <c r="S41" s="22">
        <v>1.5371999999999999</v>
      </c>
      <c r="U41" t="s">
        <v>24</v>
      </c>
      <c r="V41" s="10" t="s">
        <v>66</v>
      </c>
      <c r="W41" s="21">
        <v>1.4490000000000001</v>
      </c>
      <c r="X41" s="21">
        <v>1.5325</v>
      </c>
      <c r="Y41" s="22">
        <v>1.4686999999999999</v>
      </c>
      <c r="Z41" t="s">
        <v>24</v>
      </c>
      <c r="AA41" s="10" t="s">
        <v>67</v>
      </c>
      <c r="AB41" s="21">
        <v>1.4607000000000001</v>
      </c>
      <c r="AC41" s="22">
        <v>1.5176000000000001</v>
      </c>
      <c r="AG41" s="107"/>
    </row>
    <row r="42" spans="1:33" ht="15" thickBot="1" x14ac:dyDescent="0.4">
      <c r="A42" t="s">
        <v>24</v>
      </c>
      <c r="B42" s="11" t="s">
        <v>62</v>
      </c>
      <c r="C42" s="23">
        <v>1.464</v>
      </c>
      <c r="D42" s="23">
        <v>1.5193000000000001</v>
      </c>
      <c r="E42" s="24">
        <v>1.4611000000000001</v>
      </c>
      <c r="F42" t="s">
        <v>24</v>
      </c>
      <c r="G42" s="11" t="s">
        <v>63</v>
      </c>
      <c r="H42" s="23">
        <v>1.4491000000000001</v>
      </c>
      <c r="I42" s="24">
        <v>1.4797</v>
      </c>
      <c r="K42" t="s">
        <v>24</v>
      </c>
      <c r="L42" s="11" t="s">
        <v>64</v>
      </c>
      <c r="M42" s="23">
        <v>1.4556</v>
      </c>
      <c r="N42" s="23">
        <v>1.4823</v>
      </c>
      <c r="O42" s="24">
        <v>1.4609000000000001</v>
      </c>
      <c r="P42" t="s">
        <v>24</v>
      </c>
      <c r="Q42" s="11" t="s">
        <v>65</v>
      </c>
      <c r="R42" s="23">
        <v>1.4565999999999999</v>
      </c>
      <c r="S42" s="24">
        <v>1.4953000000000001</v>
      </c>
      <c r="U42" t="s">
        <v>24</v>
      </c>
      <c r="V42" s="11" t="s">
        <v>66</v>
      </c>
      <c r="W42" s="23">
        <v>1.4492</v>
      </c>
      <c r="X42" s="23">
        <v>1.4886999999999999</v>
      </c>
      <c r="Y42" s="24">
        <v>1.4682999999999999</v>
      </c>
      <c r="Z42" t="s">
        <v>24</v>
      </c>
      <c r="AA42" s="11" t="s">
        <v>67</v>
      </c>
      <c r="AB42" s="23">
        <v>1.4648000000000001</v>
      </c>
      <c r="AC42" s="24">
        <v>1.5143</v>
      </c>
      <c r="AG42" s="107"/>
    </row>
    <row r="44" spans="1:33" ht="15" thickBot="1" x14ac:dyDescent="0.4"/>
    <row r="45" spans="1:33" ht="15" thickBot="1" x14ac:dyDescent="0.4">
      <c r="B45" s="12" t="s">
        <v>1</v>
      </c>
      <c r="C45" s="1" t="s">
        <v>48</v>
      </c>
      <c r="D45" s="49">
        <v>46133</v>
      </c>
      <c r="E45" s="68">
        <v>46135</v>
      </c>
      <c r="G45" s="12" t="s">
        <v>1</v>
      </c>
      <c r="H45" s="49">
        <v>46133</v>
      </c>
      <c r="I45" s="2"/>
      <c r="L45" s="12" t="s">
        <v>1</v>
      </c>
      <c r="M45" s="1" t="s">
        <v>48</v>
      </c>
      <c r="N45" s="49">
        <v>46133</v>
      </c>
      <c r="O45" s="68">
        <v>46135</v>
      </c>
      <c r="Q45" s="12" t="s">
        <v>1</v>
      </c>
      <c r="R45" s="1" t="s">
        <v>48</v>
      </c>
      <c r="S45" s="68">
        <v>46133</v>
      </c>
      <c r="V45" s="12" t="s">
        <v>1</v>
      </c>
      <c r="W45" s="1" t="s">
        <v>48</v>
      </c>
      <c r="X45" s="49">
        <v>46133</v>
      </c>
      <c r="Y45" s="68">
        <v>46135</v>
      </c>
      <c r="AA45" s="12" t="s">
        <v>1</v>
      </c>
      <c r="AB45" s="1" t="s">
        <v>48</v>
      </c>
      <c r="AC45" s="68">
        <v>46133</v>
      </c>
    </row>
    <row r="46" spans="1:33" ht="15" thickBot="1" x14ac:dyDescent="0.4"/>
    <row r="47" spans="1:33" ht="15" thickBot="1" x14ac:dyDescent="0.4">
      <c r="B47" s="6" t="s">
        <v>3</v>
      </c>
      <c r="C47" s="7" t="s">
        <v>4</v>
      </c>
      <c r="D47" s="7" t="s">
        <v>15</v>
      </c>
      <c r="E47" s="8" t="s">
        <v>16</v>
      </c>
      <c r="G47" s="6" t="s">
        <v>3</v>
      </c>
      <c r="H47" s="7" t="s">
        <v>4</v>
      </c>
      <c r="I47" s="8" t="s">
        <v>15</v>
      </c>
      <c r="L47" s="6" t="s">
        <v>3</v>
      </c>
      <c r="M47" s="7" t="s">
        <v>4</v>
      </c>
      <c r="N47" s="7" t="s">
        <v>15</v>
      </c>
      <c r="O47" s="8" t="s">
        <v>16</v>
      </c>
      <c r="Q47" s="6" t="s">
        <v>3</v>
      </c>
      <c r="R47" s="7" t="s">
        <v>4</v>
      </c>
      <c r="S47" s="8" t="s">
        <v>15</v>
      </c>
      <c r="V47" s="3" t="s">
        <v>3</v>
      </c>
      <c r="W47" s="4" t="s">
        <v>4</v>
      </c>
      <c r="X47" s="4" t="s">
        <v>15</v>
      </c>
      <c r="Y47" s="5" t="s">
        <v>16</v>
      </c>
      <c r="AA47" s="3" t="s">
        <v>3</v>
      </c>
      <c r="AB47" s="4" t="s">
        <v>4</v>
      </c>
      <c r="AC47" s="5" t="s">
        <v>15</v>
      </c>
    </row>
    <row r="48" spans="1:33" x14ac:dyDescent="0.35">
      <c r="A48" t="s">
        <v>17</v>
      </c>
      <c r="B48" s="9" t="s">
        <v>68</v>
      </c>
      <c r="C48" s="19">
        <v>1.4556</v>
      </c>
      <c r="D48" s="19">
        <v>1.4914000000000001</v>
      </c>
      <c r="E48" s="20">
        <v>1.4622999999999999</v>
      </c>
      <c r="F48" t="s">
        <v>17</v>
      </c>
      <c r="G48" s="9" t="s">
        <v>69</v>
      </c>
      <c r="H48" s="19">
        <v>1.4522999999999999</v>
      </c>
      <c r="I48" s="20">
        <v>1.4872000000000001</v>
      </c>
      <c r="K48" t="s">
        <v>17</v>
      </c>
      <c r="L48" s="9" t="s">
        <v>70</v>
      </c>
      <c r="M48" s="19">
        <v>1.4565999999999999</v>
      </c>
      <c r="N48" s="19">
        <v>1.5048999999999999</v>
      </c>
      <c r="O48" s="20">
        <v>1.468</v>
      </c>
      <c r="P48" t="s">
        <v>17</v>
      </c>
      <c r="Q48" s="9" t="s">
        <v>71</v>
      </c>
      <c r="R48" s="19">
        <v>1.4592000000000001</v>
      </c>
      <c r="S48" s="20">
        <v>1.4948999999999999</v>
      </c>
      <c r="U48" t="s">
        <v>17</v>
      </c>
      <c r="V48" s="9" t="s">
        <v>72</v>
      </c>
      <c r="W48" s="19">
        <v>1.4522999999999999</v>
      </c>
      <c r="X48" s="19">
        <v>1.4982</v>
      </c>
      <c r="Y48" s="20">
        <v>1.4653</v>
      </c>
      <c r="Z48" t="s">
        <v>17</v>
      </c>
      <c r="AA48" s="9" t="s">
        <v>73</v>
      </c>
      <c r="AB48" s="19">
        <v>1.4583999999999999</v>
      </c>
      <c r="AC48" s="20">
        <v>1.5044</v>
      </c>
      <c r="AG48" s="107"/>
    </row>
    <row r="49" spans="1:33" x14ac:dyDescent="0.35">
      <c r="A49" t="s">
        <v>24</v>
      </c>
      <c r="B49" s="10" t="s">
        <v>68</v>
      </c>
      <c r="C49" s="21">
        <v>1.4453</v>
      </c>
      <c r="D49" s="21">
        <v>1.4741</v>
      </c>
      <c r="E49" s="22">
        <v>1.4501999999999999</v>
      </c>
      <c r="F49" t="s">
        <v>24</v>
      </c>
      <c r="G49" s="10" t="s">
        <v>69</v>
      </c>
      <c r="H49" s="21">
        <v>1.4643999999999999</v>
      </c>
      <c r="I49" s="22">
        <v>1.5084</v>
      </c>
      <c r="K49" t="s">
        <v>24</v>
      </c>
      <c r="L49" s="10" t="s">
        <v>70</v>
      </c>
      <c r="M49" s="21">
        <v>1.4612000000000001</v>
      </c>
      <c r="N49" s="21">
        <v>1.5067999999999999</v>
      </c>
      <c r="O49" s="22">
        <v>1.4715</v>
      </c>
      <c r="P49" t="s">
        <v>24</v>
      </c>
      <c r="Q49" s="10" t="s">
        <v>71</v>
      </c>
      <c r="R49" s="21">
        <v>1.4531000000000001</v>
      </c>
      <c r="S49" s="22">
        <v>1.5150999999999999</v>
      </c>
      <c r="U49" t="s">
        <v>24</v>
      </c>
      <c r="V49" s="10" t="s">
        <v>72</v>
      </c>
      <c r="W49" s="21">
        <v>1.4637</v>
      </c>
      <c r="X49" s="21">
        <v>1.5208999999999999</v>
      </c>
      <c r="Y49" s="22">
        <v>1.4776</v>
      </c>
      <c r="Z49" t="s">
        <v>24</v>
      </c>
      <c r="AA49" s="13" t="s">
        <v>73</v>
      </c>
      <c r="AB49" s="21">
        <v>1.45</v>
      </c>
      <c r="AC49" s="22">
        <v>1.504</v>
      </c>
      <c r="AG49" s="107"/>
    </row>
    <row r="50" spans="1:33" x14ac:dyDescent="0.35">
      <c r="A50" t="s">
        <v>24</v>
      </c>
      <c r="B50" s="10" t="s">
        <v>68</v>
      </c>
      <c r="C50" s="21">
        <v>1.4536</v>
      </c>
      <c r="D50" s="21">
        <v>1.4938</v>
      </c>
      <c r="E50" s="22">
        <v>1.4613</v>
      </c>
      <c r="F50" t="s">
        <v>24</v>
      </c>
      <c r="G50" s="10" t="s">
        <v>69</v>
      </c>
      <c r="H50" s="21">
        <v>1.4537</v>
      </c>
      <c r="I50" s="22">
        <v>1.494</v>
      </c>
      <c r="K50" t="s">
        <v>24</v>
      </c>
      <c r="L50" s="10" t="s">
        <v>70</v>
      </c>
      <c r="M50" s="21">
        <v>1.4590000000000001</v>
      </c>
      <c r="N50" s="21">
        <v>1.5065999999999999</v>
      </c>
      <c r="O50" s="22">
        <v>1.4702999999999999</v>
      </c>
      <c r="P50" t="s">
        <v>24</v>
      </c>
      <c r="Q50" s="10" t="s">
        <v>71</v>
      </c>
      <c r="R50" s="21">
        <v>1.4515</v>
      </c>
      <c r="S50" s="22">
        <v>1.4994000000000001</v>
      </c>
      <c r="U50" t="s">
        <v>24</v>
      </c>
      <c r="V50" s="10" t="s">
        <v>72</v>
      </c>
      <c r="W50" s="21">
        <v>1.4671000000000001</v>
      </c>
      <c r="X50" s="21">
        <v>1.5174000000000001</v>
      </c>
      <c r="Y50" s="22">
        <v>1.4781</v>
      </c>
      <c r="Z50" t="s">
        <v>24</v>
      </c>
      <c r="AA50" s="13" t="s">
        <v>73</v>
      </c>
      <c r="AB50" s="21">
        <v>1.46</v>
      </c>
      <c r="AC50" s="22">
        <v>1.5072000000000001</v>
      </c>
      <c r="AG50" s="107"/>
    </row>
    <row r="51" spans="1:33" x14ac:dyDescent="0.35">
      <c r="A51" t="s">
        <v>24</v>
      </c>
      <c r="B51" s="10" t="s">
        <v>68</v>
      </c>
      <c r="C51" s="21">
        <v>1.4634</v>
      </c>
      <c r="D51" s="21">
        <v>1.5068999999999999</v>
      </c>
      <c r="E51" s="22">
        <v>1.4686999999999999</v>
      </c>
      <c r="F51" t="s">
        <v>24</v>
      </c>
      <c r="G51" s="10" t="s">
        <v>69</v>
      </c>
      <c r="H51" s="21">
        <v>1.4467000000000001</v>
      </c>
      <c r="I51" s="22">
        <v>1.4879</v>
      </c>
      <c r="K51" t="s">
        <v>24</v>
      </c>
      <c r="L51" s="10" t="s">
        <v>70</v>
      </c>
      <c r="M51" s="21">
        <v>1.4557</v>
      </c>
      <c r="N51" s="21">
        <v>1.5017</v>
      </c>
      <c r="O51" s="22">
        <v>1.4671000000000001</v>
      </c>
      <c r="P51" t="s">
        <v>24</v>
      </c>
      <c r="Q51" s="10" t="s">
        <v>71</v>
      </c>
      <c r="R51" s="21">
        <v>1.4621</v>
      </c>
      <c r="S51" s="22">
        <v>1.5081</v>
      </c>
      <c r="U51" t="s">
        <v>24</v>
      </c>
      <c r="V51" s="10" t="s">
        <v>72</v>
      </c>
      <c r="W51" s="21">
        <v>1.4459</v>
      </c>
      <c r="X51" s="21">
        <v>1.5004</v>
      </c>
      <c r="Y51" s="22">
        <v>1.4579</v>
      </c>
      <c r="Z51" t="s">
        <v>24</v>
      </c>
      <c r="AA51" s="13" t="s">
        <v>73</v>
      </c>
      <c r="AB51" s="21">
        <v>1.4561999999999999</v>
      </c>
      <c r="AC51" s="22">
        <v>1.5076000000000001</v>
      </c>
      <c r="AG51" s="107"/>
    </row>
    <row r="52" spans="1:33" ht="15" thickBot="1" x14ac:dyDescent="0.4">
      <c r="A52" t="s">
        <v>24</v>
      </c>
      <c r="B52" s="11" t="s">
        <v>68</v>
      </c>
      <c r="C52" s="23">
        <v>1.4602999999999999</v>
      </c>
      <c r="D52" s="23">
        <v>1.4968999999999999</v>
      </c>
      <c r="E52" s="24">
        <v>1.4653</v>
      </c>
      <c r="F52" t="s">
        <v>24</v>
      </c>
      <c r="G52" s="11" t="s">
        <v>69</v>
      </c>
      <c r="H52" s="23">
        <v>1.4509000000000001</v>
      </c>
      <c r="I52" s="24">
        <v>1.4865999999999999</v>
      </c>
      <c r="K52" t="s">
        <v>24</v>
      </c>
      <c r="L52" s="11" t="s">
        <v>70</v>
      </c>
      <c r="M52" s="23">
        <v>1.4524999999999999</v>
      </c>
      <c r="N52" s="23">
        <v>1.5016</v>
      </c>
      <c r="O52" s="24">
        <v>1.4629000000000001</v>
      </c>
      <c r="P52" t="s">
        <v>24</v>
      </c>
      <c r="Q52" s="11" t="s">
        <v>71</v>
      </c>
      <c r="R52" s="23">
        <v>1.4651000000000001</v>
      </c>
      <c r="S52" s="24">
        <v>1.5095000000000001</v>
      </c>
      <c r="U52" t="s">
        <v>24</v>
      </c>
      <c r="V52" s="11" t="s">
        <v>72</v>
      </c>
      <c r="W52" s="23">
        <v>1.4531000000000001</v>
      </c>
      <c r="X52" s="23">
        <v>1.4982</v>
      </c>
      <c r="Y52" s="24">
        <v>1.4666999999999999</v>
      </c>
      <c r="Z52" t="s">
        <v>24</v>
      </c>
      <c r="AA52" s="14" t="s">
        <v>73</v>
      </c>
      <c r="AB52" s="23">
        <v>1.4533</v>
      </c>
      <c r="AC52" s="24">
        <v>1.5097</v>
      </c>
      <c r="AG52" s="107"/>
    </row>
    <row r="55" spans="1:33" x14ac:dyDescent="0.35">
      <c r="Q55" s="69"/>
    </row>
  </sheetData>
  <mergeCells count="7">
    <mergeCell ref="D2:F2"/>
    <mergeCell ref="B13:C13"/>
    <mergeCell ref="L13:M13"/>
    <mergeCell ref="V13:W13"/>
    <mergeCell ref="AF13:AG13"/>
    <mergeCell ref="B4:C4"/>
    <mergeCell ref="D4:E4"/>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BB9AC-9B07-4D95-8F43-BAA8EEA21CB0}">
  <dimension ref="A1:T127"/>
  <sheetViews>
    <sheetView zoomScale="48" zoomScaleNormal="48" workbookViewId="0"/>
  </sheetViews>
  <sheetFormatPr baseColWidth="10" defaultRowHeight="14.5" x14ac:dyDescent="0.35"/>
  <cols>
    <col min="11" max="11" width="11" customWidth="1"/>
    <col min="15" max="15" width="12.1796875" customWidth="1"/>
    <col min="19" max="19" width="29.453125" bestFit="1" customWidth="1"/>
    <col min="20" max="20" width="17.36328125" bestFit="1" customWidth="1"/>
    <col min="21" max="21" width="9.26953125" bestFit="1" customWidth="1"/>
    <col min="22" max="22" width="8" bestFit="1" customWidth="1"/>
    <col min="23" max="23" width="8.6328125" bestFit="1" customWidth="1"/>
    <col min="24" max="24" width="8.54296875" bestFit="1" customWidth="1"/>
    <col min="25" max="25" width="36.08984375" bestFit="1" customWidth="1"/>
    <col min="26" max="26" width="18.08984375" bestFit="1" customWidth="1"/>
    <col min="27" max="27" width="3.81640625" bestFit="1" customWidth="1"/>
    <col min="28" max="28" width="8.26953125" bestFit="1" customWidth="1"/>
    <col min="29" max="29" width="8.81640625" bestFit="1" customWidth="1"/>
  </cols>
  <sheetData>
    <row r="1" spans="1:20" ht="28.5" x14ac:dyDescent="0.65">
      <c r="A1" s="116" t="s">
        <v>558</v>
      </c>
    </row>
    <row r="3" spans="1:20" ht="15" thickBot="1" x14ac:dyDescent="0.4">
      <c r="A3" s="122"/>
      <c r="B3" s="122"/>
      <c r="C3" s="122"/>
      <c r="D3" s="122"/>
      <c r="E3" s="122"/>
      <c r="F3" s="122"/>
      <c r="G3" s="122"/>
      <c r="H3" s="122"/>
      <c r="I3" s="122"/>
      <c r="J3" s="122"/>
      <c r="K3" s="122"/>
      <c r="L3" s="122"/>
      <c r="M3" s="122"/>
      <c r="N3" s="122"/>
      <c r="O3" s="122"/>
      <c r="P3" s="122"/>
      <c r="Q3" s="122"/>
    </row>
    <row r="4" spans="1:20" ht="44" thickBot="1" x14ac:dyDescent="0.4">
      <c r="A4" s="201" t="s">
        <v>432</v>
      </c>
      <c r="B4" s="202" t="s">
        <v>437</v>
      </c>
      <c r="C4" s="203" t="s">
        <v>103</v>
      </c>
      <c r="D4" s="203" t="s">
        <v>104</v>
      </c>
      <c r="E4" s="203" t="s">
        <v>1</v>
      </c>
      <c r="F4" s="203" t="s">
        <v>3</v>
      </c>
      <c r="G4" s="203" t="s">
        <v>4</v>
      </c>
      <c r="H4" s="203" t="s">
        <v>105</v>
      </c>
      <c r="I4" s="203" t="s">
        <v>118</v>
      </c>
      <c r="J4" s="203" t="s">
        <v>106</v>
      </c>
      <c r="K4" s="204" t="s">
        <v>435</v>
      </c>
      <c r="L4" s="203" t="s">
        <v>494</v>
      </c>
      <c r="M4" s="203" t="s">
        <v>495</v>
      </c>
      <c r="N4" s="203" t="s">
        <v>117</v>
      </c>
      <c r="O4" s="204" t="s">
        <v>436</v>
      </c>
      <c r="P4" s="203" t="s">
        <v>492</v>
      </c>
      <c r="Q4" s="205" t="s">
        <v>493</v>
      </c>
    </row>
    <row r="5" spans="1:20" x14ac:dyDescent="0.35">
      <c r="A5" s="198" t="s">
        <v>555</v>
      </c>
      <c r="B5" s="199"/>
      <c r="C5" s="199"/>
      <c r="D5" s="199"/>
      <c r="E5" s="199"/>
      <c r="F5" s="199"/>
      <c r="G5" s="199"/>
      <c r="H5" s="199"/>
      <c r="I5" s="199"/>
      <c r="J5" s="199"/>
      <c r="K5" s="199"/>
      <c r="L5" s="199"/>
      <c r="M5" s="199"/>
      <c r="N5" s="199"/>
      <c r="O5" s="199"/>
      <c r="P5" s="199"/>
      <c r="Q5" s="200"/>
    </row>
    <row r="6" spans="1:20" x14ac:dyDescent="0.35">
      <c r="A6" s="79">
        <v>3</v>
      </c>
      <c r="B6" s="88" t="s">
        <v>400</v>
      </c>
      <c r="C6" s="71">
        <v>20</v>
      </c>
      <c r="D6" s="71" t="s">
        <v>10</v>
      </c>
      <c r="E6" s="92">
        <v>46070</v>
      </c>
      <c r="F6" s="71" t="s">
        <v>189</v>
      </c>
      <c r="G6" s="73">
        <v>1.4611000000000001</v>
      </c>
      <c r="H6" s="73">
        <v>1.4854000000000001</v>
      </c>
      <c r="I6" s="73">
        <v>1.4704999999999999</v>
      </c>
      <c r="J6" s="94">
        <f>SUM(H6-G6)</f>
        <v>2.4299999999999988E-2</v>
      </c>
      <c r="K6" s="73">
        <f>AVERAGE(J6:J10)</f>
        <v>2.4059999999999925E-2</v>
      </c>
      <c r="L6" s="73">
        <f>SUM(J9)</f>
        <v>3.2099999999999795E-2</v>
      </c>
      <c r="M6" s="73">
        <f>SUM(J10)</f>
        <v>1.8899999999999917E-2</v>
      </c>
      <c r="N6" s="73">
        <f>SUM(I6-G6)</f>
        <v>9.3999999999998529E-3</v>
      </c>
      <c r="O6" s="73">
        <f>AVERAGE(N6:N10)</f>
        <v>7.3599999999999447E-3</v>
      </c>
      <c r="P6" s="73">
        <f>SUM(N6)</f>
        <v>9.3999999999998529E-3</v>
      </c>
      <c r="Q6" s="102">
        <f>SUM(N7)</f>
        <v>4.8999999999999044E-3</v>
      </c>
    </row>
    <row r="7" spans="1:20" x14ac:dyDescent="0.35">
      <c r="A7" s="79">
        <v>3</v>
      </c>
      <c r="B7" s="88" t="s">
        <v>400</v>
      </c>
      <c r="C7" s="71">
        <v>20</v>
      </c>
      <c r="D7" s="71" t="s">
        <v>10</v>
      </c>
      <c r="E7" s="92">
        <v>46070</v>
      </c>
      <c r="F7" s="71" t="s">
        <v>190</v>
      </c>
      <c r="G7" s="73">
        <v>1.4515</v>
      </c>
      <c r="H7" s="73">
        <v>1.4716</v>
      </c>
      <c r="I7" s="73">
        <v>1.4563999999999999</v>
      </c>
      <c r="J7" s="94">
        <f t="shared" ref="J7:J15" si="0">SUM(H7-G7)</f>
        <v>2.0100000000000007E-2</v>
      </c>
      <c r="K7" s="73"/>
      <c r="L7" s="73"/>
      <c r="M7" s="73"/>
      <c r="N7" s="73">
        <f>SUM(I7-G7)</f>
        <v>4.8999999999999044E-3</v>
      </c>
      <c r="O7" s="71"/>
      <c r="P7" s="71"/>
      <c r="Q7" s="103"/>
    </row>
    <row r="8" spans="1:20" x14ac:dyDescent="0.35">
      <c r="A8" s="79">
        <v>3</v>
      </c>
      <c r="B8" s="88" t="s">
        <v>400</v>
      </c>
      <c r="C8" s="71">
        <v>20</v>
      </c>
      <c r="D8" s="71" t="s">
        <v>10</v>
      </c>
      <c r="E8" s="92">
        <v>46070</v>
      </c>
      <c r="F8" s="71" t="s">
        <v>191</v>
      </c>
      <c r="G8" s="73">
        <v>1.4578</v>
      </c>
      <c r="H8" s="73">
        <v>1.4826999999999999</v>
      </c>
      <c r="I8" s="73">
        <v>1.4664999999999999</v>
      </c>
      <c r="J8" s="94">
        <f t="shared" si="0"/>
        <v>2.4899999999999922E-2</v>
      </c>
      <c r="K8" s="73"/>
      <c r="L8" s="73"/>
      <c r="M8" s="73"/>
      <c r="N8" s="73">
        <f>SUM(I8-G8)</f>
        <v>8.69999999999993E-3</v>
      </c>
      <c r="O8" s="71"/>
      <c r="P8" s="71"/>
      <c r="Q8" s="103"/>
    </row>
    <row r="9" spans="1:20" x14ac:dyDescent="0.35">
      <c r="A9" s="79">
        <v>3</v>
      </c>
      <c r="B9" s="88" t="s">
        <v>400</v>
      </c>
      <c r="C9" s="71">
        <v>20</v>
      </c>
      <c r="D9" s="71" t="s">
        <v>10</v>
      </c>
      <c r="E9" s="92">
        <v>46070</v>
      </c>
      <c r="F9" s="71" t="s">
        <v>192</v>
      </c>
      <c r="G9" s="73">
        <v>1.4668000000000001</v>
      </c>
      <c r="H9" s="73">
        <v>1.4988999999999999</v>
      </c>
      <c r="I9" s="73">
        <v>1.4751000000000001</v>
      </c>
      <c r="J9" s="94">
        <f t="shared" si="0"/>
        <v>3.2099999999999795E-2</v>
      </c>
      <c r="K9" s="73"/>
      <c r="L9" s="73"/>
      <c r="M9" s="73"/>
      <c r="N9" s="73">
        <f>SUM(I9-G9)</f>
        <v>8.2999999999999741E-3</v>
      </c>
      <c r="O9" s="71"/>
      <c r="P9" s="71"/>
      <c r="Q9" s="103"/>
    </row>
    <row r="10" spans="1:20" x14ac:dyDescent="0.35">
      <c r="A10" s="79">
        <v>3</v>
      </c>
      <c r="B10" s="88" t="s">
        <v>400</v>
      </c>
      <c r="C10" s="71">
        <v>20</v>
      </c>
      <c r="D10" s="71" t="s">
        <v>10</v>
      </c>
      <c r="E10" s="92">
        <v>46070</v>
      </c>
      <c r="F10" s="71" t="s">
        <v>193</v>
      </c>
      <c r="G10" s="73">
        <v>1.4536</v>
      </c>
      <c r="H10" s="73">
        <v>1.4724999999999999</v>
      </c>
      <c r="I10" s="73">
        <v>1.4591000000000001</v>
      </c>
      <c r="J10" s="94">
        <f t="shared" si="0"/>
        <v>1.8899999999999917E-2</v>
      </c>
      <c r="K10" s="73"/>
      <c r="L10" s="73"/>
      <c r="M10" s="73"/>
      <c r="N10" s="73">
        <f>SUM(I10-G10)</f>
        <v>5.5000000000000604E-3</v>
      </c>
      <c r="O10" s="71"/>
      <c r="P10" s="71"/>
      <c r="Q10" s="103"/>
    </row>
    <row r="11" spans="1:20" x14ac:dyDescent="0.35">
      <c r="A11" s="10">
        <v>3</v>
      </c>
      <c r="B11" s="90" t="s">
        <v>400</v>
      </c>
      <c r="C11" s="74">
        <v>20</v>
      </c>
      <c r="D11" s="74" t="s">
        <v>11</v>
      </c>
      <c r="E11" s="93">
        <v>46070</v>
      </c>
      <c r="F11" s="74" t="s">
        <v>194</v>
      </c>
      <c r="G11" s="21">
        <v>1.4594</v>
      </c>
      <c r="H11" s="21">
        <v>1.4796</v>
      </c>
      <c r="I11" s="21"/>
      <c r="J11" s="98">
        <f t="shared" si="0"/>
        <v>2.0199999999999996E-2</v>
      </c>
      <c r="K11" s="21">
        <f>AVERAGE(J11:J15)</f>
        <v>2.2800000000000022E-2</v>
      </c>
      <c r="L11" s="21">
        <f>SUM(J15)</f>
        <v>2.5600000000000067E-2</v>
      </c>
      <c r="M11" s="21">
        <f>SUM(J11)</f>
        <v>2.0199999999999996E-2</v>
      </c>
      <c r="N11" s="74"/>
      <c r="O11" s="74"/>
      <c r="P11" s="74"/>
      <c r="Q11" s="104"/>
    </row>
    <row r="12" spans="1:20" x14ac:dyDescent="0.35">
      <c r="A12" s="10">
        <v>3</v>
      </c>
      <c r="B12" s="90" t="s">
        <v>400</v>
      </c>
      <c r="C12" s="74">
        <v>20</v>
      </c>
      <c r="D12" s="74" t="s">
        <v>11</v>
      </c>
      <c r="E12" s="93">
        <v>46070</v>
      </c>
      <c r="F12" s="74" t="s">
        <v>195</v>
      </c>
      <c r="G12" s="21">
        <v>1.4527000000000001</v>
      </c>
      <c r="H12" s="21">
        <v>1.4748000000000001</v>
      </c>
      <c r="I12" s="21"/>
      <c r="J12" s="98">
        <f t="shared" si="0"/>
        <v>2.2100000000000009E-2</v>
      </c>
      <c r="K12" s="21"/>
      <c r="L12" s="21"/>
      <c r="M12" s="21"/>
      <c r="N12" s="74"/>
      <c r="O12" s="74"/>
      <c r="P12" s="74"/>
      <c r="Q12" s="104"/>
    </row>
    <row r="13" spans="1:20" x14ac:dyDescent="0.35">
      <c r="A13" s="10">
        <v>3</v>
      </c>
      <c r="B13" s="90" t="s">
        <v>400</v>
      </c>
      <c r="C13" s="74">
        <v>20</v>
      </c>
      <c r="D13" s="74" t="s">
        <v>11</v>
      </c>
      <c r="E13" s="93">
        <v>46070</v>
      </c>
      <c r="F13" s="74" t="s">
        <v>196</v>
      </c>
      <c r="G13" s="21">
        <v>1.4585999999999999</v>
      </c>
      <c r="H13" s="21">
        <v>1.4815</v>
      </c>
      <c r="I13" s="21"/>
      <c r="J13" s="98">
        <f t="shared" si="0"/>
        <v>2.2900000000000142E-2</v>
      </c>
      <c r="K13" s="21"/>
      <c r="L13" s="21"/>
      <c r="M13" s="21"/>
      <c r="N13" s="74"/>
      <c r="O13" s="74"/>
      <c r="P13" s="74"/>
      <c r="Q13" s="104"/>
    </row>
    <row r="14" spans="1:20" x14ac:dyDescent="0.35">
      <c r="A14" s="10">
        <v>3</v>
      </c>
      <c r="B14" s="90" t="s">
        <v>400</v>
      </c>
      <c r="C14" s="74">
        <v>20</v>
      </c>
      <c r="D14" s="74" t="s">
        <v>11</v>
      </c>
      <c r="E14" s="93">
        <v>46070</v>
      </c>
      <c r="F14" s="74" t="s">
        <v>197</v>
      </c>
      <c r="G14" s="21">
        <v>1.4472</v>
      </c>
      <c r="H14" s="21">
        <v>1.4703999999999999</v>
      </c>
      <c r="I14" s="21"/>
      <c r="J14" s="98">
        <f t="shared" si="0"/>
        <v>2.3199999999999887E-2</v>
      </c>
      <c r="K14" s="21"/>
      <c r="L14" s="21"/>
      <c r="M14" s="21"/>
      <c r="N14" s="74"/>
      <c r="O14" s="74"/>
      <c r="P14" s="74"/>
      <c r="Q14" s="104"/>
    </row>
    <row r="15" spans="1:20" x14ac:dyDescent="0.35">
      <c r="A15" s="10">
        <v>3</v>
      </c>
      <c r="B15" s="90" t="s">
        <v>400</v>
      </c>
      <c r="C15" s="74">
        <v>20</v>
      </c>
      <c r="D15" s="74" t="s">
        <v>11</v>
      </c>
      <c r="E15" s="93">
        <v>46070</v>
      </c>
      <c r="F15" s="74" t="s">
        <v>198</v>
      </c>
      <c r="G15" s="21">
        <v>1.4656</v>
      </c>
      <c r="H15" s="21">
        <v>1.4912000000000001</v>
      </c>
      <c r="I15" s="21"/>
      <c r="J15" s="98">
        <f t="shared" si="0"/>
        <v>2.5600000000000067E-2</v>
      </c>
      <c r="K15" s="21"/>
      <c r="L15" s="21"/>
      <c r="M15" s="21"/>
      <c r="N15" s="74"/>
      <c r="O15" s="74"/>
      <c r="P15" s="74"/>
      <c r="Q15" s="104"/>
    </row>
    <row r="16" spans="1:20" x14ac:dyDescent="0.35">
      <c r="A16" s="79">
        <v>6</v>
      </c>
      <c r="B16" s="88" t="s">
        <v>400</v>
      </c>
      <c r="C16" s="71">
        <v>20</v>
      </c>
      <c r="D16" s="71" t="s">
        <v>10</v>
      </c>
      <c r="E16" s="92">
        <v>46090</v>
      </c>
      <c r="F16" s="71" t="s">
        <v>219</v>
      </c>
      <c r="G16" s="73">
        <v>1.4589000000000001</v>
      </c>
      <c r="H16" s="73">
        <v>1.4876</v>
      </c>
      <c r="I16" s="73">
        <v>1.4661</v>
      </c>
      <c r="J16" s="94">
        <f>H16-G16</f>
        <v>2.8699999999999948E-2</v>
      </c>
      <c r="K16" s="73">
        <f>AVERAGE(J16:J20)</f>
        <v>2.5039999999999996E-2</v>
      </c>
      <c r="L16" s="73">
        <f>SUM(J16)</f>
        <v>2.8699999999999948E-2</v>
      </c>
      <c r="M16" s="73">
        <f>SUM(J17)</f>
        <v>2.2100000000000009E-2</v>
      </c>
      <c r="N16" s="73">
        <f>SUM(I16-G16)</f>
        <v>7.1999999999998732E-3</v>
      </c>
      <c r="O16" s="73">
        <f>AVERAGE(N16:N20)</f>
        <v>7.3999999999999847E-3</v>
      </c>
      <c r="P16" s="73">
        <f>SUM(N18)</f>
        <v>1.3900000000000023E-2</v>
      </c>
      <c r="Q16" s="102">
        <f>SUM(N17)</f>
        <v>9.9999999999988987E-5</v>
      </c>
      <c r="T16" s="30"/>
    </row>
    <row r="17" spans="1:19" x14ac:dyDescent="0.35">
      <c r="A17" s="79">
        <v>6</v>
      </c>
      <c r="B17" s="88" t="s">
        <v>400</v>
      </c>
      <c r="C17" s="71">
        <v>20</v>
      </c>
      <c r="D17" s="71" t="s">
        <v>10</v>
      </c>
      <c r="E17" s="92">
        <v>46090</v>
      </c>
      <c r="F17" s="71" t="s">
        <v>220</v>
      </c>
      <c r="G17" s="73">
        <v>1.4538</v>
      </c>
      <c r="H17" s="73">
        <v>1.4759</v>
      </c>
      <c r="I17" s="73">
        <v>1.4539</v>
      </c>
      <c r="J17" s="94">
        <f t="shared" ref="J17:J25" si="1">H17-G17</f>
        <v>2.2100000000000009E-2</v>
      </c>
      <c r="K17" s="73"/>
      <c r="L17" s="73"/>
      <c r="M17" s="73"/>
      <c r="N17" s="73">
        <f>SUM(I17-G17)</f>
        <v>9.9999999999988987E-5</v>
      </c>
      <c r="O17" s="71"/>
      <c r="P17" s="71"/>
      <c r="Q17" s="103"/>
    </row>
    <row r="18" spans="1:19" x14ac:dyDescent="0.35">
      <c r="A18" s="79">
        <v>6</v>
      </c>
      <c r="B18" s="88" t="s">
        <v>400</v>
      </c>
      <c r="C18" s="71">
        <v>20</v>
      </c>
      <c r="D18" s="71" t="s">
        <v>10</v>
      </c>
      <c r="E18" s="92">
        <v>46090</v>
      </c>
      <c r="F18" s="71" t="s">
        <v>221</v>
      </c>
      <c r="G18" s="73">
        <v>1.45</v>
      </c>
      <c r="H18" s="73">
        <v>1.4741</v>
      </c>
      <c r="I18" s="73">
        <v>1.4639</v>
      </c>
      <c r="J18" s="94">
        <f t="shared" si="1"/>
        <v>2.410000000000001E-2</v>
      </c>
      <c r="K18" s="73"/>
      <c r="L18" s="73"/>
      <c r="M18" s="73"/>
      <c r="N18" s="73">
        <f>SUM(I18-G18)</f>
        <v>1.3900000000000023E-2</v>
      </c>
      <c r="O18" s="71"/>
      <c r="P18" s="71"/>
      <c r="Q18" s="103"/>
    </row>
    <row r="19" spans="1:19" x14ac:dyDescent="0.35">
      <c r="A19" s="79">
        <v>6</v>
      </c>
      <c r="B19" s="88" t="s">
        <v>400</v>
      </c>
      <c r="C19" s="71">
        <v>20</v>
      </c>
      <c r="D19" s="71" t="s">
        <v>10</v>
      </c>
      <c r="E19" s="92">
        <v>46090</v>
      </c>
      <c r="F19" s="71" t="s">
        <v>222</v>
      </c>
      <c r="G19" s="73">
        <v>1.4630000000000001</v>
      </c>
      <c r="H19" s="73">
        <v>1.4903</v>
      </c>
      <c r="I19" s="73">
        <v>1.4710000000000001</v>
      </c>
      <c r="J19" s="94">
        <f t="shared" si="1"/>
        <v>2.729999999999988E-2</v>
      </c>
      <c r="K19" s="73"/>
      <c r="L19" s="73"/>
      <c r="M19" s="73"/>
      <c r="N19" s="73">
        <f>SUM(I19-G19)</f>
        <v>8.0000000000000071E-3</v>
      </c>
      <c r="O19" s="71"/>
      <c r="P19" s="71"/>
      <c r="Q19" s="103"/>
      <c r="S19" s="30"/>
    </row>
    <row r="20" spans="1:19" x14ac:dyDescent="0.35">
      <c r="A20" s="79">
        <v>6</v>
      </c>
      <c r="B20" s="88" t="s">
        <v>400</v>
      </c>
      <c r="C20" s="71">
        <v>20</v>
      </c>
      <c r="D20" s="71" t="s">
        <v>10</v>
      </c>
      <c r="E20" s="92">
        <v>46090</v>
      </c>
      <c r="F20" s="71" t="s">
        <v>223</v>
      </c>
      <c r="G20" s="73">
        <v>1.4543999999999999</v>
      </c>
      <c r="H20" s="73">
        <v>1.4774</v>
      </c>
      <c r="I20" s="73">
        <v>1.4621999999999999</v>
      </c>
      <c r="J20" s="94">
        <f t="shared" si="1"/>
        <v>2.3000000000000131E-2</v>
      </c>
      <c r="K20" s="73"/>
      <c r="L20" s="73"/>
      <c r="M20" s="73"/>
      <c r="N20" s="73">
        <f>SUM(I20-G20)</f>
        <v>7.8000000000000291E-3</v>
      </c>
      <c r="O20" s="71"/>
      <c r="P20" s="71"/>
      <c r="Q20" s="103"/>
    </row>
    <row r="21" spans="1:19" x14ac:dyDescent="0.35">
      <c r="A21" s="83">
        <v>6</v>
      </c>
      <c r="B21" s="90" t="s">
        <v>400</v>
      </c>
      <c r="C21" s="77">
        <v>20</v>
      </c>
      <c r="D21" s="77" t="s">
        <v>11</v>
      </c>
      <c r="E21" s="96">
        <v>46090</v>
      </c>
      <c r="F21" s="74" t="s">
        <v>224</v>
      </c>
      <c r="G21" s="21">
        <v>1.4659</v>
      </c>
      <c r="H21" s="21">
        <v>1.4865999999999999</v>
      </c>
      <c r="I21" s="77"/>
      <c r="J21" s="98">
        <f t="shared" si="1"/>
        <v>2.0699999999999941E-2</v>
      </c>
      <c r="K21" s="76">
        <f>AVERAGE(J21:J25)</f>
        <v>2.1660000000000013E-2</v>
      </c>
      <c r="L21" s="21">
        <f>SUM(J24)</f>
        <v>2.4199999999999999E-2</v>
      </c>
      <c r="M21" s="21">
        <f>SUM(J25)</f>
        <v>2.0100000000000007E-2</v>
      </c>
      <c r="N21" s="74"/>
      <c r="O21" s="74"/>
      <c r="P21" s="74"/>
      <c r="Q21" s="104"/>
    </row>
    <row r="22" spans="1:19" x14ac:dyDescent="0.35">
      <c r="A22" s="83">
        <v>6</v>
      </c>
      <c r="B22" s="90" t="s">
        <v>400</v>
      </c>
      <c r="C22" s="77">
        <v>20</v>
      </c>
      <c r="D22" s="77" t="s">
        <v>11</v>
      </c>
      <c r="E22" s="96">
        <v>46090</v>
      </c>
      <c r="F22" s="74" t="s">
        <v>225</v>
      </c>
      <c r="G22" s="21">
        <v>1.4646999999999999</v>
      </c>
      <c r="H22" s="21">
        <v>1.4863999999999999</v>
      </c>
      <c r="I22" s="77"/>
      <c r="J22" s="98">
        <f t="shared" si="1"/>
        <v>2.1700000000000053E-2</v>
      </c>
      <c r="K22" s="77"/>
      <c r="L22" s="21"/>
      <c r="M22" s="21"/>
      <c r="N22" s="74"/>
      <c r="O22" s="74"/>
      <c r="P22" s="74"/>
      <c r="Q22" s="104"/>
    </row>
    <row r="23" spans="1:19" x14ac:dyDescent="0.35">
      <c r="A23" s="83">
        <v>6</v>
      </c>
      <c r="B23" s="90" t="s">
        <v>400</v>
      </c>
      <c r="C23" s="77">
        <v>20</v>
      </c>
      <c r="D23" s="77" t="s">
        <v>11</v>
      </c>
      <c r="E23" s="96">
        <v>46090</v>
      </c>
      <c r="F23" s="74" t="s">
        <v>226</v>
      </c>
      <c r="G23" s="21">
        <v>1.4596</v>
      </c>
      <c r="H23" s="21">
        <v>1.4812000000000001</v>
      </c>
      <c r="I23" s="77"/>
      <c r="J23" s="98">
        <f t="shared" si="1"/>
        <v>2.1600000000000064E-2</v>
      </c>
      <c r="K23" s="77"/>
      <c r="L23" s="21"/>
      <c r="M23" s="21"/>
      <c r="N23" s="74"/>
      <c r="O23" s="74"/>
      <c r="P23" s="74"/>
      <c r="Q23" s="104"/>
    </row>
    <row r="24" spans="1:19" x14ac:dyDescent="0.35">
      <c r="A24" s="83">
        <v>6</v>
      </c>
      <c r="B24" s="90" t="s">
        <v>400</v>
      </c>
      <c r="C24" s="77">
        <v>20</v>
      </c>
      <c r="D24" s="77" t="s">
        <v>11</v>
      </c>
      <c r="E24" s="96">
        <v>46090</v>
      </c>
      <c r="F24" s="74" t="s">
        <v>227</v>
      </c>
      <c r="G24" s="21">
        <v>1.4565999999999999</v>
      </c>
      <c r="H24" s="21">
        <v>1.4807999999999999</v>
      </c>
      <c r="I24" s="77"/>
      <c r="J24" s="98">
        <f t="shared" si="1"/>
        <v>2.4199999999999999E-2</v>
      </c>
      <c r="K24" s="77"/>
      <c r="L24" s="21"/>
      <c r="M24" s="21"/>
      <c r="N24" s="74"/>
      <c r="O24" s="74"/>
      <c r="P24" s="74"/>
      <c r="Q24" s="104"/>
    </row>
    <row r="25" spans="1:19" x14ac:dyDescent="0.35">
      <c r="A25" s="83">
        <v>6</v>
      </c>
      <c r="B25" s="90" t="s">
        <v>400</v>
      </c>
      <c r="C25" s="77">
        <v>20</v>
      </c>
      <c r="D25" s="77" t="s">
        <v>11</v>
      </c>
      <c r="E25" s="96">
        <v>46090</v>
      </c>
      <c r="F25" s="74" t="s">
        <v>228</v>
      </c>
      <c r="G25" s="21">
        <v>1.4484999999999999</v>
      </c>
      <c r="H25" s="21">
        <v>1.4685999999999999</v>
      </c>
      <c r="I25" s="77"/>
      <c r="J25" s="98">
        <f t="shared" si="1"/>
        <v>2.0100000000000007E-2</v>
      </c>
      <c r="K25" s="77"/>
      <c r="L25" s="21"/>
      <c r="M25" s="21"/>
      <c r="N25" s="74"/>
      <c r="O25" s="74"/>
      <c r="P25" s="74"/>
      <c r="Q25" s="104"/>
    </row>
    <row r="26" spans="1:19" x14ac:dyDescent="0.35">
      <c r="A26" s="79">
        <v>9</v>
      </c>
      <c r="B26" s="88" t="s">
        <v>400</v>
      </c>
      <c r="C26" s="71">
        <v>20</v>
      </c>
      <c r="D26" s="71" t="s">
        <v>10</v>
      </c>
      <c r="E26" s="92">
        <v>46111</v>
      </c>
      <c r="F26" s="71" t="s">
        <v>250</v>
      </c>
      <c r="G26" s="73">
        <v>1.4488000000000001</v>
      </c>
      <c r="H26" s="73">
        <v>1.4752000000000001</v>
      </c>
      <c r="I26" s="73">
        <v>1.4641999999999999</v>
      </c>
      <c r="J26" s="94">
        <f>H26-G26</f>
        <v>2.6399999999999979E-2</v>
      </c>
      <c r="K26" s="73">
        <f>AVERAGE(J26)</f>
        <v>2.6399999999999979E-2</v>
      </c>
      <c r="L26" s="73">
        <f>SUM(J30)</f>
        <v>5.5300000000000127E-2</v>
      </c>
      <c r="M26" s="73">
        <f>SUM(J26)</f>
        <v>2.6399999999999979E-2</v>
      </c>
      <c r="N26" s="73">
        <f>SUM(I26-G26)</f>
        <v>1.5399999999999858E-2</v>
      </c>
      <c r="O26" s="73">
        <f>AVERAGE(N26:N30)</f>
        <v>1.0179999999999944E-2</v>
      </c>
      <c r="P26" s="73">
        <f>SUM(N29)</f>
        <v>2.4399999999999977E-2</v>
      </c>
      <c r="Q26" s="102">
        <f>SUM(N30)</f>
        <v>-2.8999999999999027E-3</v>
      </c>
    </row>
    <row r="27" spans="1:19" x14ac:dyDescent="0.35">
      <c r="A27" s="79">
        <v>9</v>
      </c>
      <c r="B27" s="88" t="s">
        <v>400</v>
      </c>
      <c r="C27" s="71">
        <v>20</v>
      </c>
      <c r="D27" s="71" t="s">
        <v>10</v>
      </c>
      <c r="E27" s="92">
        <v>46111</v>
      </c>
      <c r="F27" s="71" t="s">
        <v>251</v>
      </c>
      <c r="G27" s="73">
        <v>1.4518</v>
      </c>
      <c r="H27" s="73">
        <v>1.4826999999999999</v>
      </c>
      <c r="I27" s="73">
        <v>1.4560999999999999</v>
      </c>
      <c r="J27" s="94">
        <f t="shared" ref="J27:J35" si="2">H27-G27</f>
        <v>3.0899999999999928E-2</v>
      </c>
      <c r="K27" s="73"/>
      <c r="L27" s="73"/>
      <c r="M27" s="73"/>
      <c r="N27" s="73">
        <f>SUM(I27-G27)</f>
        <v>4.2999999999999705E-3</v>
      </c>
      <c r="O27" s="71"/>
      <c r="P27" s="71"/>
      <c r="Q27" s="103"/>
    </row>
    <row r="28" spans="1:19" x14ac:dyDescent="0.35">
      <c r="A28" s="79">
        <v>9</v>
      </c>
      <c r="B28" s="88" t="s">
        <v>400</v>
      </c>
      <c r="C28" s="71">
        <v>20</v>
      </c>
      <c r="D28" s="71" t="s">
        <v>10</v>
      </c>
      <c r="E28" s="92">
        <v>46111</v>
      </c>
      <c r="F28" s="71" t="s">
        <v>252</v>
      </c>
      <c r="G28" s="73">
        <v>1.4549000000000001</v>
      </c>
      <c r="H28" s="73">
        <v>1.5044</v>
      </c>
      <c r="I28" s="73">
        <v>1.4645999999999999</v>
      </c>
      <c r="J28" s="94">
        <f t="shared" si="2"/>
        <v>4.9499999999999877E-2</v>
      </c>
      <c r="K28" s="73"/>
      <c r="L28" s="73"/>
      <c r="M28" s="73"/>
      <c r="N28" s="73">
        <f>SUM(I28-G28)</f>
        <v>9.6999999999998199E-3</v>
      </c>
      <c r="O28" s="71"/>
      <c r="P28" s="71"/>
      <c r="Q28" s="103"/>
    </row>
    <row r="29" spans="1:19" x14ac:dyDescent="0.35">
      <c r="A29" s="79">
        <v>9</v>
      </c>
      <c r="B29" s="88" t="s">
        <v>400</v>
      </c>
      <c r="C29" s="71">
        <v>20</v>
      </c>
      <c r="D29" s="71" t="s">
        <v>10</v>
      </c>
      <c r="E29" s="92">
        <v>46111</v>
      </c>
      <c r="F29" s="71" t="s">
        <v>253</v>
      </c>
      <c r="G29" s="73">
        <v>1.4486000000000001</v>
      </c>
      <c r="H29" s="73">
        <v>1.4761</v>
      </c>
      <c r="I29" s="73">
        <v>1.4730000000000001</v>
      </c>
      <c r="J29" s="94">
        <f t="shared" si="2"/>
        <v>2.7499999999999858E-2</v>
      </c>
      <c r="K29" s="73"/>
      <c r="L29" s="73"/>
      <c r="M29" s="73"/>
      <c r="N29" s="73">
        <f>SUM(I29-G29)</f>
        <v>2.4399999999999977E-2</v>
      </c>
      <c r="O29" s="71"/>
      <c r="P29" s="71"/>
      <c r="Q29" s="103"/>
    </row>
    <row r="30" spans="1:19" x14ac:dyDescent="0.35">
      <c r="A30" s="79">
        <v>9</v>
      </c>
      <c r="B30" s="88" t="s">
        <v>400</v>
      </c>
      <c r="C30" s="71">
        <v>20</v>
      </c>
      <c r="D30" s="71" t="s">
        <v>10</v>
      </c>
      <c r="E30" s="92">
        <v>46111</v>
      </c>
      <c r="F30" s="71" t="s">
        <v>254</v>
      </c>
      <c r="G30" s="73">
        <v>1.464</v>
      </c>
      <c r="H30" s="73">
        <v>1.5193000000000001</v>
      </c>
      <c r="I30" s="73">
        <v>1.4611000000000001</v>
      </c>
      <c r="J30" s="94">
        <f t="shared" si="2"/>
        <v>5.5300000000000127E-2</v>
      </c>
      <c r="K30" s="73"/>
      <c r="L30" s="73"/>
      <c r="M30" s="73"/>
      <c r="N30" s="73">
        <f>SUM(I30-G30)</f>
        <v>-2.8999999999999027E-3</v>
      </c>
      <c r="O30" s="71"/>
      <c r="P30" s="71"/>
      <c r="Q30" s="103"/>
    </row>
    <row r="31" spans="1:19" x14ac:dyDescent="0.35">
      <c r="A31" s="83">
        <v>9</v>
      </c>
      <c r="B31" s="90" t="s">
        <v>400</v>
      </c>
      <c r="C31" s="74">
        <v>20</v>
      </c>
      <c r="D31" s="74" t="s">
        <v>11</v>
      </c>
      <c r="E31" s="93">
        <v>46111</v>
      </c>
      <c r="F31" s="74" t="s">
        <v>249</v>
      </c>
      <c r="G31" s="21">
        <v>1.4583999999999999</v>
      </c>
      <c r="H31" s="21">
        <v>1.4906999999999999</v>
      </c>
      <c r="I31" s="74"/>
      <c r="J31" s="95">
        <f t="shared" si="2"/>
        <v>3.2299999999999995E-2</v>
      </c>
      <c r="K31" s="21">
        <f>AVERAGE(J31:J35)</f>
        <v>3.3379999999999965E-2</v>
      </c>
      <c r="L31" s="21">
        <f>SUM(J32)</f>
        <v>5.0999999999999934E-2</v>
      </c>
      <c r="M31" s="21">
        <f>SUM(J34)</f>
        <v>2.5800000000000045E-2</v>
      </c>
      <c r="N31" s="74"/>
      <c r="O31" s="74"/>
      <c r="P31" s="74"/>
      <c r="Q31" s="104"/>
    </row>
    <row r="32" spans="1:19" x14ac:dyDescent="0.35">
      <c r="A32" s="83">
        <v>9</v>
      </c>
      <c r="B32" s="90" t="s">
        <v>400</v>
      </c>
      <c r="C32" s="74">
        <v>20</v>
      </c>
      <c r="D32" s="74" t="s">
        <v>11</v>
      </c>
      <c r="E32" s="93">
        <v>46111</v>
      </c>
      <c r="F32" s="74" t="s">
        <v>255</v>
      </c>
      <c r="G32" s="21">
        <v>1.4552</v>
      </c>
      <c r="H32" s="21">
        <v>1.5062</v>
      </c>
      <c r="I32" s="74"/>
      <c r="J32" s="95">
        <f t="shared" si="2"/>
        <v>5.0999999999999934E-2</v>
      </c>
      <c r="K32" s="74"/>
      <c r="L32" s="21"/>
      <c r="M32" s="21"/>
      <c r="N32" s="74"/>
      <c r="O32" s="74"/>
      <c r="P32" s="74"/>
      <c r="Q32" s="104"/>
    </row>
    <row r="33" spans="1:17" x14ac:dyDescent="0.35">
      <c r="A33" s="83">
        <v>9</v>
      </c>
      <c r="B33" s="90" t="s">
        <v>400</v>
      </c>
      <c r="C33" s="74">
        <v>20</v>
      </c>
      <c r="D33" s="74" t="s">
        <v>11</v>
      </c>
      <c r="E33" s="93">
        <v>46111</v>
      </c>
      <c r="F33" s="74" t="s">
        <v>256</v>
      </c>
      <c r="G33" s="21">
        <v>1.4591000000000001</v>
      </c>
      <c r="H33" s="21">
        <v>1.4863</v>
      </c>
      <c r="I33" s="74"/>
      <c r="J33" s="95">
        <f t="shared" si="2"/>
        <v>2.7199999999999891E-2</v>
      </c>
      <c r="K33" s="74"/>
      <c r="L33" s="21"/>
      <c r="M33" s="21"/>
      <c r="N33" s="74"/>
      <c r="O33" s="74"/>
      <c r="P33" s="74"/>
      <c r="Q33" s="104"/>
    </row>
    <row r="34" spans="1:17" x14ac:dyDescent="0.35">
      <c r="A34" s="83">
        <v>9</v>
      </c>
      <c r="B34" s="90" t="s">
        <v>400</v>
      </c>
      <c r="C34" s="74">
        <v>20</v>
      </c>
      <c r="D34" s="74" t="s">
        <v>11</v>
      </c>
      <c r="E34" s="93">
        <v>46111</v>
      </c>
      <c r="F34" s="74" t="s">
        <v>257</v>
      </c>
      <c r="G34" s="21">
        <v>1.4542999999999999</v>
      </c>
      <c r="H34" s="21">
        <v>1.4801</v>
      </c>
      <c r="I34" s="74"/>
      <c r="J34" s="95">
        <f t="shared" si="2"/>
        <v>2.5800000000000045E-2</v>
      </c>
      <c r="K34" s="74"/>
      <c r="L34" s="21"/>
      <c r="M34" s="21"/>
      <c r="N34" s="74"/>
      <c r="O34" s="74"/>
      <c r="P34" s="74"/>
      <c r="Q34" s="104"/>
    </row>
    <row r="35" spans="1:17" x14ac:dyDescent="0.35">
      <c r="A35" s="83">
        <v>9</v>
      </c>
      <c r="B35" s="90" t="s">
        <v>400</v>
      </c>
      <c r="C35" s="74">
        <v>20</v>
      </c>
      <c r="D35" s="74" t="s">
        <v>11</v>
      </c>
      <c r="E35" s="93">
        <v>46111</v>
      </c>
      <c r="F35" s="74" t="s">
        <v>258</v>
      </c>
      <c r="G35" s="21">
        <v>1.4491000000000001</v>
      </c>
      <c r="H35" s="21">
        <v>1.4797</v>
      </c>
      <c r="I35" s="74"/>
      <c r="J35" s="95">
        <f t="shared" si="2"/>
        <v>3.0599999999999961E-2</v>
      </c>
      <c r="K35" s="74"/>
      <c r="L35" s="21"/>
      <c r="M35" s="21"/>
      <c r="N35" s="74"/>
      <c r="O35" s="74"/>
      <c r="P35" s="74"/>
      <c r="Q35" s="104"/>
    </row>
    <row r="36" spans="1:17" x14ac:dyDescent="0.35">
      <c r="A36" s="79">
        <v>12</v>
      </c>
      <c r="B36" s="88" t="s">
        <v>400</v>
      </c>
      <c r="C36" s="71">
        <v>20</v>
      </c>
      <c r="D36" s="71" t="s">
        <v>10</v>
      </c>
      <c r="E36" s="92">
        <v>46133</v>
      </c>
      <c r="F36" s="71" t="s">
        <v>402</v>
      </c>
      <c r="G36" s="73">
        <v>1.4556</v>
      </c>
      <c r="H36" s="73">
        <v>1.4914000000000001</v>
      </c>
      <c r="I36" s="73">
        <v>1.4622999999999999</v>
      </c>
      <c r="J36" s="94">
        <f>SUM(H36-G36)</f>
        <v>3.5800000000000054E-2</v>
      </c>
      <c r="K36" s="73">
        <f>AVERAGE(J36:J40)</f>
        <v>3.6979999999999971E-2</v>
      </c>
      <c r="L36" s="73">
        <f>SUM(J39)</f>
        <v>4.3499999999999872E-2</v>
      </c>
      <c r="M36" s="73">
        <f>SUM(J37)</f>
        <v>2.8799999999999937E-2</v>
      </c>
      <c r="N36" s="73">
        <f>SUM(I36-G36)</f>
        <v>6.6999999999999282E-3</v>
      </c>
      <c r="O36" s="73">
        <f>AVERAGE(N36:N40)</f>
        <v>5.9199999999999696E-3</v>
      </c>
      <c r="P36" s="73">
        <f>SUM(N38)</f>
        <v>7.7000000000000401E-3</v>
      </c>
      <c r="Q36" s="102">
        <f>SUM(N37)</f>
        <v>4.8999999999999044E-3</v>
      </c>
    </row>
    <row r="37" spans="1:17" x14ac:dyDescent="0.35">
      <c r="A37" s="79">
        <v>12</v>
      </c>
      <c r="B37" s="88" t="s">
        <v>400</v>
      </c>
      <c r="C37" s="71">
        <v>20</v>
      </c>
      <c r="D37" s="71" t="s">
        <v>10</v>
      </c>
      <c r="E37" s="92">
        <v>46133</v>
      </c>
      <c r="F37" s="71" t="s">
        <v>403</v>
      </c>
      <c r="G37" s="73">
        <v>1.4453</v>
      </c>
      <c r="H37" s="73">
        <v>1.4741</v>
      </c>
      <c r="I37" s="73">
        <v>1.4501999999999999</v>
      </c>
      <c r="J37" s="94">
        <f t="shared" ref="J37:J45" si="3">SUM(H37-G37)</f>
        <v>2.8799999999999937E-2</v>
      </c>
      <c r="K37" s="71"/>
      <c r="L37" s="71"/>
      <c r="M37" s="71"/>
      <c r="N37" s="73">
        <f>SUM(I37-G37)</f>
        <v>4.8999999999999044E-3</v>
      </c>
      <c r="O37" s="71"/>
      <c r="P37" s="71"/>
      <c r="Q37" s="103"/>
    </row>
    <row r="38" spans="1:17" x14ac:dyDescent="0.35">
      <c r="A38" s="79">
        <v>12</v>
      </c>
      <c r="B38" s="88" t="s">
        <v>400</v>
      </c>
      <c r="C38" s="71">
        <v>20</v>
      </c>
      <c r="D38" s="71" t="s">
        <v>10</v>
      </c>
      <c r="E38" s="92">
        <v>46133</v>
      </c>
      <c r="F38" s="71" t="s">
        <v>404</v>
      </c>
      <c r="G38" s="73">
        <v>1.4536</v>
      </c>
      <c r="H38" s="73">
        <v>1.4938</v>
      </c>
      <c r="I38" s="73">
        <v>1.4613</v>
      </c>
      <c r="J38" s="94">
        <f t="shared" si="3"/>
        <v>4.0200000000000014E-2</v>
      </c>
      <c r="K38" s="71"/>
      <c r="L38" s="71"/>
      <c r="M38" s="71"/>
      <c r="N38" s="73">
        <f>SUM(I38-G38)</f>
        <v>7.7000000000000401E-3</v>
      </c>
      <c r="O38" s="71"/>
      <c r="P38" s="71"/>
      <c r="Q38" s="103"/>
    </row>
    <row r="39" spans="1:17" x14ac:dyDescent="0.35">
      <c r="A39" s="79">
        <v>12</v>
      </c>
      <c r="B39" s="88" t="s">
        <v>400</v>
      </c>
      <c r="C39" s="71">
        <v>20</v>
      </c>
      <c r="D39" s="71" t="s">
        <v>10</v>
      </c>
      <c r="E39" s="92">
        <v>46133</v>
      </c>
      <c r="F39" s="71" t="s">
        <v>405</v>
      </c>
      <c r="G39" s="73">
        <v>1.4634</v>
      </c>
      <c r="H39" s="73">
        <v>1.5068999999999999</v>
      </c>
      <c r="I39" s="73">
        <v>1.4686999999999999</v>
      </c>
      <c r="J39" s="94">
        <f t="shared" si="3"/>
        <v>4.3499999999999872E-2</v>
      </c>
      <c r="K39" s="71"/>
      <c r="L39" s="71"/>
      <c r="M39" s="71"/>
      <c r="N39" s="73">
        <f>SUM(I39-G39)</f>
        <v>5.2999999999998604E-3</v>
      </c>
      <c r="O39" s="71"/>
      <c r="P39" s="71"/>
      <c r="Q39" s="103"/>
    </row>
    <row r="40" spans="1:17" x14ac:dyDescent="0.35">
      <c r="A40" s="79">
        <v>12</v>
      </c>
      <c r="B40" s="88" t="s">
        <v>400</v>
      </c>
      <c r="C40" s="71">
        <v>20</v>
      </c>
      <c r="D40" s="71" t="s">
        <v>10</v>
      </c>
      <c r="E40" s="92">
        <v>46133</v>
      </c>
      <c r="F40" s="71" t="s">
        <v>406</v>
      </c>
      <c r="G40" s="73">
        <v>1.4602999999999999</v>
      </c>
      <c r="H40" s="73">
        <v>1.4968999999999999</v>
      </c>
      <c r="I40" s="73">
        <v>1.4653</v>
      </c>
      <c r="J40" s="94">
        <f t="shared" si="3"/>
        <v>3.6599999999999966E-2</v>
      </c>
      <c r="K40" s="71"/>
      <c r="L40" s="71"/>
      <c r="M40" s="71"/>
      <c r="N40" s="73">
        <f>SUM(I40-G40)</f>
        <v>5.0000000000001155E-3</v>
      </c>
      <c r="O40" s="71"/>
      <c r="P40" s="71"/>
      <c r="Q40" s="103"/>
    </row>
    <row r="41" spans="1:17" x14ac:dyDescent="0.35">
      <c r="A41" s="83">
        <v>12</v>
      </c>
      <c r="B41" s="90" t="s">
        <v>400</v>
      </c>
      <c r="C41" s="74">
        <v>20</v>
      </c>
      <c r="D41" s="74" t="s">
        <v>11</v>
      </c>
      <c r="E41" s="93">
        <v>46133</v>
      </c>
      <c r="F41" s="74" t="s">
        <v>407</v>
      </c>
      <c r="G41" s="21">
        <v>1.4522999999999999</v>
      </c>
      <c r="H41" s="21">
        <v>1.4872000000000001</v>
      </c>
      <c r="I41" s="74"/>
      <c r="J41" s="95">
        <f t="shared" si="3"/>
        <v>3.4900000000000153E-2</v>
      </c>
      <c r="K41" s="21">
        <f>AVERAGE(J41:J45)</f>
        <v>3.9219999999999991E-2</v>
      </c>
      <c r="L41" s="21">
        <f>SUM(J42)</f>
        <v>4.4000000000000039E-2</v>
      </c>
      <c r="M41" s="21">
        <f>SUM(J41)</f>
        <v>3.4900000000000153E-2</v>
      </c>
      <c r="N41" s="74"/>
      <c r="O41" s="74"/>
      <c r="P41" s="74"/>
      <c r="Q41" s="104"/>
    </row>
    <row r="42" spans="1:17" x14ac:dyDescent="0.35">
      <c r="A42" s="83">
        <v>12</v>
      </c>
      <c r="B42" s="90" t="s">
        <v>400</v>
      </c>
      <c r="C42" s="74">
        <v>20</v>
      </c>
      <c r="D42" s="74" t="s">
        <v>11</v>
      </c>
      <c r="E42" s="93">
        <v>46133</v>
      </c>
      <c r="F42" s="74" t="s">
        <v>408</v>
      </c>
      <c r="G42" s="21">
        <v>1.4643999999999999</v>
      </c>
      <c r="H42" s="21">
        <v>1.5084</v>
      </c>
      <c r="I42" s="74"/>
      <c r="J42" s="95">
        <f t="shared" si="3"/>
        <v>4.4000000000000039E-2</v>
      </c>
      <c r="K42" s="74"/>
      <c r="L42" s="74"/>
      <c r="M42" s="74"/>
      <c r="N42" s="74"/>
      <c r="O42" s="74"/>
      <c r="P42" s="74"/>
      <c r="Q42" s="104"/>
    </row>
    <row r="43" spans="1:17" x14ac:dyDescent="0.35">
      <c r="A43" s="83">
        <v>12</v>
      </c>
      <c r="B43" s="90" t="s">
        <v>400</v>
      </c>
      <c r="C43" s="74">
        <v>20</v>
      </c>
      <c r="D43" s="74" t="s">
        <v>11</v>
      </c>
      <c r="E43" s="93">
        <v>46133</v>
      </c>
      <c r="F43" s="74" t="s">
        <v>409</v>
      </c>
      <c r="G43" s="21">
        <v>1.4537</v>
      </c>
      <c r="H43" s="21">
        <v>1.494</v>
      </c>
      <c r="I43" s="74"/>
      <c r="J43" s="95">
        <f t="shared" si="3"/>
        <v>4.0300000000000002E-2</v>
      </c>
      <c r="K43" s="74"/>
      <c r="L43" s="74"/>
      <c r="M43" s="74"/>
      <c r="N43" s="74"/>
      <c r="O43" s="74"/>
      <c r="P43" s="74"/>
      <c r="Q43" s="104"/>
    </row>
    <row r="44" spans="1:17" x14ac:dyDescent="0.35">
      <c r="A44" s="83">
        <v>12</v>
      </c>
      <c r="B44" s="90" t="s">
        <v>400</v>
      </c>
      <c r="C44" s="74">
        <v>20</v>
      </c>
      <c r="D44" s="74" t="s">
        <v>11</v>
      </c>
      <c r="E44" s="93">
        <v>46133</v>
      </c>
      <c r="F44" s="74" t="s">
        <v>410</v>
      </c>
      <c r="G44" s="21">
        <v>1.4467000000000001</v>
      </c>
      <c r="H44" s="21">
        <v>1.4879</v>
      </c>
      <c r="I44" s="74"/>
      <c r="J44" s="95">
        <f t="shared" si="3"/>
        <v>4.1199999999999903E-2</v>
      </c>
      <c r="K44" s="74"/>
      <c r="L44" s="74"/>
      <c r="M44" s="74"/>
      <c r="N44" s="74"/>
      <c r="O44" s="74"/>
      <c r="P44" s="74"/>
      <c r="Q44" s="104"/>
    </row>
    <row r="45" spans="1:17" ht="15" thickBot="1" x14ac:dyDescent="0.4">
      <c r="A45" s="87">
        <v>12</v>
      </c>
      <c r="B45" s="91" t="s">
        <v>400</v>
      </c>
      <c r="C45" s="84">
        <v>20</v>
      </c>
      <c r="D45" s="84" t="s">
        <v>11</v>
      </c>
      <c r="E45" s="97">
        <v>46133</v>
      </c>
      <c r="F45" s="84" t="s">
        <v>411</v>
      </c>
      <c r="G45" s="23">
        <v>1.4509000000000001</v>
      </c>
      <c r="H45" s="23">
        <v>1.4865999999999999</v>
      </c>
      <c r="I45" s="84"/>
      <c r="J45" s="99">
        <f t="shared" si="3"/>
        <v>3.5699999999999843E-2</v>
      </c>
      <c r="K45" s="84"/>
      <c r="L45" s="84"/>
      <c r="M45" s="84"/>
      <c r="N45" s="84"/>
      <c r="O45" s="84"/>
      <c r="P45" s="84"/>
      <c r="Q45" s="105"/>
    </row>
    <row r="46" spans="1:17" x14ac:dyDescent="0.35">
      <c r="A46" s="198" t="s">
        <v>554</v>
      </c>
      <c r="B46" s="199"/>
      <c r="C46" s="199"/>
      <c r="D46" s="199"/>
      <c r="E46" s="199"/>
      <c r="F46" s="199"/>
      <c r="G46" s="199"/>
      <c r="H46" s="199"/>
      <c r="I46" s="199"/>
      <c r="J46" s="199"/>
      <c r="K46" s="199"/>
      <c r="L46" s="199"/>
      <c r="M46" s="199"/>
      <c r="N46" s="199"/>
      <c r="O46" s="199"/>
      <c r="P46" s="199"/>
      <c r="Q46" s="200"/>
    </row>
    <row r="47" spans="1:17" x14ac:dyDescent="0.35">
      <c r="A47" s="79">
        <v>3</v>
      </c>
      <c r="B47" s="88" t="s">
        <v>400</v>
      </c>
      <c r="C47" s="71">
        <v>40</v>
      </c>
      <c r="D47" s="71" t="s">
        <v>10</v>
      </c>
      <c r="E47" s="92">
        <v>46070</v>
      </c>
      <c r="F47" s="71" t="s">
        <v>199</v>
      </c>
      <c r="G47" s="73">
        <v>1.4583999999999999</v>
      </c>
      <c r="H47" s="73">
        <v>1.4885999999999999</v>
      </c>
      <c r="I47" s="73">
        <v>1.4681999999999999</v>
      </c>
      <c r="J47" s="94">
        <f>SUM(H47-G47)</f>
        <v>3.0200000000000005E-2</v>
      </c>
      <c r="K47" s="73">
        <f>AVERAGE(J47:J51)</f>
        <v>2.9299999999999972E-2</v>
      </c>
      <c r="L47" s="73">
        <f>SUM(J47)</f>
        <v>3.0200000000000005E-2</v>
      </c>
      <c r="M47" s="73">
        <f>SUM(J51)</f>
        <v>2.849999999999997E-2</v>
      </c>
      <c r="N47" s="73">
        <f>SUM(I47-G47)</f>
        <v>9.8000000000000309E-3</v>
      </c>
      <c r="O47" s="73">
        <f>AVERAGE(N47:N51)</f>
        <v>7.21999999999996E-3</v>
      </c>
      <c r="P47" s="73">
        <f>SUM(N47)</f>
        <v>9.8000000000000309E-3</v>
      </c>
      <c r="Q47" s="102">
        <f>SUM(N48)</f>
        <v>1.0999999999998789E-3</v>
      </c>
    </row>
    <row r="48" spans="1:17" x14ac:dyDescent="0.35">
      <c r="A48" s="79">
        <v>3</v>
      </c>
      <c r="B48" s="88" t="s">
        <v>400</v>
      </c>
      <c r="C48" s="71">
        <v>40</v>
      </c>
      <c r="D48" s="71" t="s">
        <v>10</v>
      </c>
      <c r="E48" s="92">
        <v>46070</v>
      </c>
      <c r="F48" s="71" t="s">
        <v>200</v>
      </c>
      <c r="G48" s="73">
        <v>1.4651000000000001</v>
      </c>
      <c r="H48" s="73">
        <v>1.494</v>
      </c>
      <c r="I48" s="73">
        <v>1.4661999999999999</v>
      </c>
      <c r="J48" s="94">
        <f t="shared" ref="J48:J56" si="4">SUM(H48-G48)</f>
        <v>2.8899999999999926E-2</v>
      </c>
      <c r="K48" s="73"/>
      <c r="L48" s="73"/>
      <c r="M48" s="73"/>
      <c r="N48" s="73">
        <f>SUM(I48-G48)</f>
        <v>1.0999999999998789E-3</v>
      </c>
      <c r="O48" s="71"/>
      <c r="P48" s="71"/>
      <c r="Q48" s="103"/>
    </row>
    <row r="49" spans="1:17" x14ac:dyDescent="0.35">
      <c r="A49" s="79">
        <v>3</v>
      </c>
      <c r="B49" s="88" t="s">
        <v>400</v>
      </c>
      <c r="C49" s="71">
        <v>40</v>
      </c>
      <c r="D49" s="71" t="s">
        <v>10</v>
      </c>
      <c r="E49" s="92">
        <v>46070</v>
      </c>
      <c r="F49" s="71" t="s">
        <v>201</v>
      </c>
      <c r="G49" s="73">
        <v>1.4510000000000001</v>
      </c>
      <c r="H49" s="73">
        <v>1.4811000000000001</v>
      </c>
      <c r="I49" s="73">
        <v>1.4594</v>
      </c>
      <c r="J49" s="94">
        <f t="shared" si="4"/>
        <v>3.0100000000000016E-2</v>
      </c>
      <c r="K49" s="73"/>
      <c r="L49" s="73"/>
      <c r="M49" s="73"/>
      <c r="N49" s="73">
        <f>SUM(I49-G49)</f>
        <v>8.3999999999999631E-3</v>
      </c>
      <c r="O49" s="71"/>
      <c r="P49" s="71"/>
      <c r="Q49" s="103"/>
    </row>
    <row r="50" spans="1:17" x14ac:dyDescent="0.35">
      <c r="A50" s="79">
        <v>3</v>
      </c>
      <c r="B50" s="88" t="s">
        <v>400</v>
      </c>
      <c r="C50" s="71">
        <v>40</v>
      </c>
      <c r="D50" s="71" t="s">
        <v>10</v>
      </c>
      <c r="E50" s="92">
        <v>46070</v>
      </c>
      <c r="F50" s="71" t="s">
        <v>202</v>
      </c>
      <c r="G50" s="73">
        <v>1.4514</v>
      </c>
      <c r="H50" s="73">
        <v>1.4802</v>
      </c>
      <c r="I50" s="73">
        <v>1.4594</v>
      </c>
      <c r="J50" s="94">
        <f t="shared" si="4"/>
        <v>2.8799999999999937E-2</v>
      </c>
      <c r="K50" s="73"/>
      <c r="L50" s="73"/>
      <c r="M50" s="73"/>
      <c r="N50" s="73">
        <f>SUM(I50-G50)</f>
        <v>8.0000000000000071E-3</v>
      </c>
      <c r="O50" s="71"/>
      <c r="P50" s="71"/>
      <c r="Q50" s="103"/>
    </row>
    <row r="51" spans="1:17" x14ac:dyDescent="0.35">
      <c r="A51" s="79">
        <v>3</v>
      </c>
      <c r="B51" s="88" t="s">
        <v>400</v>
      </c>
      <c r="C51" s="71">
        <v>40</v>
      </c>
      <c r="D51" s="71" t="s">
        <v>10</v>
      </c>
      <c r="E51" s="92">
        <v>46070</v>
      </c>
      <c r="F51" s="71" t="s">
        <v>203</v>
      </c>
      <c r="G51" s="73">
        <v>1.4487000000000001</v>
      </c>
      <c r="H51" s="73">
        <v>1.4772000000000001</v>
      </c>
      <c r="I51" s="73">
        <v>1.4575</v>
      </c>
      <c r="J51" s="94">
        <f t="shared" si="4"/>
        <v>2.849999999999997E-2</v>
      </c>
      <c r="K51" s="73"/>
      <c r="L51" s="73"/>
      <c r="M51" s="73"/>
      <c r="N51" s="73">
        <f>SUM(I51-G51)</f>
        <v>8.799999999999919E-3</v>
      </c>
      <c r="O51" s="71"/>
      <c r="P51" s="71"/>
      <c r="Q51" s="103"/>
    </row>
    <row r="52" spans="1:17" x14ac:dyDescent="0.35">
      <c r="A52" s="10">
        <v>3</v>
      </c>
      <c r="B52" s="90" t="s">
        <v>400</v>
      </c>
      <c r="C52" s="77">
        <v>40</v>
      </c>
      <c r="D52" s="74" t="s">
        <v>11</v>
      </c>
      <c r="E52" s="93">
        <v>46070</v>
      </c>
      <c r="F52" s="74" t="s">
        <v>204</v>
      </c>
      <c r="G52" s="21">
        <v>1.4625999999999999</v>
      </c>
      <c r="H52" s="21">
        <v>1.4928999999999999</v>
      </c>
      <c r="I52" s="21"/>
      <c r="J52" s="98">
        <f t="shared" si="4"/>
        <v>3.0299999999999994E-2</v>
      </c>
      <c r="K52" s="21">
        <f>AVERAGE(J52:J56)</f>
        <v>2.9999999999999982E-2</v>
      </c>
      <c r="L52" s="21">
        <f>SUM(J55)</f>
        <v>3.2999999999999918E-2</v>
      </c>
      <c r="M52" s="21">
        <f>SUM(J56)</f>
        <v>2.6900000000000146E-2</v>
      </c>
      <c r="N52" s="74"/>
      <c r="O52" s="74"/>
      <c r="P52" s="74"/>
      <c r="Q52" s="104"/>
    </row>
    <row r="53" spans="1:17" x14ac:dyDescent="0.35">
      <c r="A53" s="10">
        <v>3</v>
      </c>
      <c r="B53" s="90" t="s">
        <v>400</v>
      </c>
      <c r="C53" s="77">
        <v>40</v>
      </c>
      <c r="D53" s="74" t="s">
        <v>11</v>
      </c>
      <c r="E53" s="93">
        <v>46070</v>
      </c>
      <c r="F53" s="74" t="s">
        <v>205</v>
      </c>
      <c r="G53" s="21">
        <v>1.4608000000000001</v>
      </c>
      <c r="H53" s="21">
        <v>1.4924999999999999</v>
      </c>
      <c r="I53" s="21"/>
      <c r="J53" s="98">
        <f t="shared" si="4"/>
        <v>3.1699999999999839E-2</v>
      </c>
      <c r="K53" s="21"/>
      <c r="L53" s="21"/>
      <c r="M53" s="21"/>
      <c r="N53" s="74"/>
      <c r="O53" s="74"/>
      <c r="P53" s="74"/>
      <c r="Q53" s="104"/>
    </row>
    <row r="54" spans="1:17" x14ac:dyDescent="0.35">
      <c r="A54" s="10">
        <v>3</v>
      </c>
      <c r="B54" s="90" t="s">
        <v>400</v>
      </c>
      <c r="C54" s="77">
        <v>40</v>
      </c>
      <c r="D54" s="74" t="s">
        <v>11</v>
      </c>
      <c r="E54" s="93">
        <v>46070</v>
      </c>
      <c r="F54" s="74" t="s">
        <v>206</v>
      </c>
      <c r="G54" s="21">
        <v>1.4579</v>
      </c>
      <c r="H54" s="21">
        <v>1.486</v>
      </c>
      <c r="I54" s="21"/>
      <c r="J54" s="98">
        <f t="shared" si="4"/>
        <v>2.8100000000000014E-2</v>
      </c>
      <c r="K54" s="21"/>
      <c r="L54" s="21"/>
      <c r="M54" s="21"/>
      <c r="N54" s="74"/>
      <c r="O54" s="74"/>
      <c r="P54" s="74"/>
      <c r="Q54" s="104"/>
    </row>
    <row r="55" spans="1:17" x14ac:dyDescent="0.35">
      <c r="A55" s="10">
        <v>3</v>
      </c>
      <c r="B55" s="90" t="s">
        <v>400</v>
      </c>
      <c r="C55" s="77">
        <v>40</v>
      </c>
      <c r="D55" s="74" t="s">
        <v>11</v>
      </c>
      <c r="E55" s="93">
        <v>46070</v>
      </c>
      <c r="F55" s="74" t="s">
        <v>207</v>
      </c>
      <c r="G55" s="21">
        <v>1.4576</v>
      </c>
      <c r="H55" s="21">
        <v>1.4905999999999999</v>
      </c>
      <c r="I55" s="21"/>
      <c r="J55" s="98">
        <f t="shared" si="4"/>
        <v>3.2999999999999918E-2</v>
      </c>
      <c r="K55" s="21"/>
      <c r="L55" s="21"/>
      <c r="M55" s="21"/>
      <c r="N55" s="74"/>
      <c r="O55" s="74"/>
      <c r="P55" s="74"/>
      <c r="Q55" s="104"/>
    </row>
    <row r="56" spans="1:17" x14ac:dyDescent="0.35">
      <c r="A56" s="10">
        <v>3</v>
      </c>
      <c r="B56" s="90" t="s">
        <v>400</v>
      </c>
      <c r="C56" s="77">
        <v>40</v>
      </c>
      <c r="D56" s="74" t="s">
        <v>11</v>
      </c>
      <c r="E56" s="93">
        <v>46070</v>
      </c>
      <c r="F56" s="74" t="s">
        <v>208</v>
      </c>
      <c r="G56" s="21">
        <v>1.446</v>
      </c>
      <c r="H56" s="21">
        <v>1.4729000000000001</v>
      </c>
      <c r="I56" s="21"/>
      <c r="J56" s="98">
        <f t="shared" si="4"/>
        <v>2.6900000000000146E-2</v>
      </c>
      <c r="K56" s="21"/>
      <c r="L56" s="21"/>
      <c r="M56" s="21"/>
      <c r="N56" s="74"/>
      <c r="O56" s="74"/>
      <c r="P56" s="74"/>
      <c r="Q56" s="104"/>
    </row>
    <row r="57" spans="1:17" x14ac:dyDescent="0.35">
      <c r="A57" s="79">
        <v>6</v>
      </c>
      <c r="B57" s="88" t="s">
        <v>400</v>
      </c>
      <c r="C57" s="71">
        <v>40</v>
      </c>
      <c r="D57" s="71" t="s">
        <v>10</v>
      </c>
      <c r="E57" s="92">
        <v>46090</v>
      </c>
      <c r="F57" s="71" t="s">
        <v>229</v>
      </c>
      <c r="G57" s="73">
        <v>1.4556</v>
      </c>
      <c r="H57" s="73">
        <v>1.488</v>
      </c>
      <c r="I57" s="73">
        <v>1.4681</v>
      </c>
      <c r="J57" s="94">
        <f>H57-G57</f>
        <v>3.2399999999999984E-2</v>
      </c>
      <c r="K57" s="73">
        <f>AVERAGE(J57:J61)</f>
        <v>3.1380000000000054E-2</v>
      </c>
      <c r="L57" s="73">
        <f>SUM(J58)</f>
        <v>3.499999999999992E-2</v>
      </c>
      <c r="M57" s="73">
        <f>SUM(J60)</f>
        <v>2.5900000000000034E-2</v>
      </c>
      <c r="N57" s="73">
        <f>SUM(I57-G57)</f>
        <v>1.2499999999999956E-2</v>
      </c>
      <c r="O57" s="73">
        <f>AVERAGE(N57:N61)</f>
        <v>8.9000000000000416E-3</v>
      </c>
      <c r="P57" s="73">
        <f>SUM(N58)</f>
        <v>1.3200000000000101E-2</v>
      </c>
      <c r="Q57" s="102">
        <f>SUM(N61)</f>
        <v>2.1999999999999797E-3</v>
      </c>
    </row>
    <row r="58" spans="1:17" x14ac:dyDescent="0.35">
      <c r="A58" s="79">
        <v>6</v>
      </c>
      <c r="B58" s="88" t="s">
        <v>400</v>
      </c>
      <c r="C58" s="71">
        <v>40</v>
      </c>
      <c r="D58" s="71" t="s">
        <v>10</v>
      </c>
      <c r="E58" s="92">
        <v>46090</v>
      </c>
      <c r="F58" s="71" t="s">
        <v>230</v>
      </c>
      <c r="G58" s="73">
        <v>1.4556</v>
      </c>
      <c r="H58" s="73">
        <v>1.4905999999999999</v>
      </c>
      <c r="I58" s="73">
        <v>1.4688000000000001</v>
      </c>
      <c r="J58" s="94">
        <f t="shared" ref="J58:J66" si="5">H58-G58</f>
        <v>3.499999999999992E-2</v>
      </c>
      <c r="K58" s="73"/>
      <c r="L58" s="73"/>
      <c r="M58" s="73"/>
      <c r="N58" s="73">
        <f>SUM(I58-G58)</f>
        <v>1.3200000000000101E-2</v>
      </c>
      <c r="O58" s="71"/>
      <c r="P58" s="71"/>
      <c r="Q58" s="103"/>
    </row>
    <row r="59" spans="1:17" x14ac:dyDescent="0.35">
      <c r="A59" s="79">
        <v>6</v>
      </c>
      <c r="B59" s="88" t="s">
        <v>400</v>
      </c>
      <c r="C59" s="71">
        <v>40</v>
      </c>
      <c r="D59" s="71" t="s">
        <v>10</v>
      </c>
      <c r="E59" s="92">
        <v>46090</v>
      </c>
      <c r="F59" s="71" t="s">
        <v>231</v>
      </c>
      <c r="G59" s="73">
        <v>1.4564999999999999</v>
      </c>
      <c r="H59" s="73">
        <v>1.4872000000000001</v>
      </c>
      <c r="I59" s="73">
        <v>1.4644999999999999</v>
      </c>
      <c r="J59" s="94">
        <f t="shared" si="5"/>
        <v>3.0700000000000172E-2</v>
      </c>
      <c r="K59" s="73"/>
      <c r="L59" s="73"/>
      <c r="M59" s="73"/>
      <c r="N59" s="73">
        <f>SUM(I59-G59)</f>
        <v>8.0000000000000071E-3</v>
      </c>
      <c r="O59" s="71"/>
      <c r="P59" s="71"/>
      <c r="Q59" s="103"/>
    </row>
    <row r="60" spans="1:17" x14ac:dyDescent="0.35">
      <c r="A60" s="79">
        <v>6</v>
      </c>
      <c r="B60" s="88" t="s">
        <v>400</v>
      </c>
      <c r="C60" s="71">
        <v>40</v>
      </c>
      <c r="D60" s="71" t="s">
        <v>10</v>
      </c>
      <c r="E60" s="92">
        <v>46090</v>
      </c>
      <c r="F60" s="71" t="s">
        <v>232</v>
      </c>
      <c r="G60" s="73">
        <v>1.4545999999999999</v>
      </c>
      <c r="H60" s="73">
        <v>1.4804999999999999</v>
      </c>
      <c r="I60" s="73">
        <v>1.4632000000000001</v>
      </c>
      <c r="J60" s="94">
        <f t="shared" si="5"/>
        <v>2.5900000000000034E-2</v>
      </c>
      <c r="K60" s="73"/>
      <c r="L60" s="73"/>
      <c r="M60" s="73"/>
      <c r="N60" s="73">
        <f>SUM(I60-G60)</f>
        <v>8.6000000000001631E-3</v>
      </c>
      <c r="O60" s="71"/>
      <c r="P60" s="71"/>
      <c r="Q60" s="103"/>
    </row>
    <row r="61" spans="1:17" x14ac:dyDescent="0.35">
      <c r="A61" s="79">
        <v>6</v>
      </c>
      <c r="B61" s="88" t="s">
        <v>400</v>
      </c>
      <c r="C61" s="71">
        <v>40</v>
      </c>
      <c r="D61" s="71" t="s">
        <v>10</v>
      </c>
      <c r="E61" s="92">
        <v>46090</v>
      </c>
      <c r="F61" s="71" t="s">
        <v>233</v>
      </c>
      <c r="G61" s="73">
        <v>1.4581</v>
      </c>
      <c r="H61" s="73">
        <v>1.4910000000000001</v>
      </c>
      <c r="I61" s="73">
        <v>1.4602999999999999</v>
      </c>
      <c r="J61" s="94">
        <f t="shared" si="5"/>
        <v>3.2900000000000151E-2</v>
      </c>
      <c r="K61" s="73"/>
      <c r="L61" s="73"/>
      <c r="M61" s="73"/>
      <c r="N61" s="73">
        <f>SUM(I61-G61)</f>
        <v>2.1999999999999797E-3</v>
      </c>
      <c r="O61" s="71"/>
      <c r="P61" s="71"/>
      <c r="Q61" s="103"/>
    </row>
    <row r="62" spans="1:17" x14ac:dyDescent="0.35">
      <c r="A62" s="83">
        <v>6</v>
      </c>
      <c r="B62" s="90" t="s">
        <v>400</v>
      </c>
      <c r="C62" s="77">
        <v>40</v>
      </c>
      <c r="D62" s="77" t="s">
        <v>11</v>
      </c>
      <c r="E62" s="96">
        <v>46090</v>
      </c>
      <c r="F62" s="74" t="s">
        <v>234</v>
      </c>
      <c r="G62" s="21">
        <v>1.4452</v>
      </c>
      <c r="H62" s="21">
        <v>1.4751000000000001</v>
      </c>
      <c r="I62" s="77"/>
      <c r="J62" s="98">
        <f t="shared" si="5"/>
        <v>2.9900000000000038E-2</v>
      </c>
      <c r="K62" s="76">
        <f>AVERAGE(J62:J66)</f>
        <v>3.0180000000000051E-2</v>
      </c>
      <c r="L62" s="21">
        <f>SUM(J64)</f>
        <v>3.2399999999999984E-2</v>
      </c>
      <c r="M62" s="21">
        <f>SUM(J66)</f>
        <v>2.5100000000000122E-2</v>
      </c>
      <c r="N62" s="74"/>
      <c r="O62" s="74"/>
      <c r="P62" s="74"/>
      <c r="Q62" s="104"/>
    </row>
    <row r="63" spans="1:17" x14ac:dyDescent="0.35">
      <c r="A63" s="83">
        <v>6</v>
      </c>
      <c r="B63" s="90" t="s">
        <v>400</v>
      </c>
      <c r="C63" s="77">
        <v>40</v>
      </c>
      <c r="D63" s="77" t="s">
        <v>11</v>
      </c>
      <c r="E63" s="96">
        <v>46090</v>
      </c>
      <c r="F63" s="74" t="s">
        <v>235</v>
      </c>
      <c r="G63" s="21">
        <v>1.4632000000000001</v>
      </c>
      <c r="H63" s="21">
        <v>1.4952000000000001</v>
      </c>
      <c r="I63" s="77"/>
      <c r="J63" s="98">
        <f t="shared" si="5"/>
        <v>3.2000000000000028E-2</v>
      </c>
      <c r="K63" s="77"/>
      <c r="L63" s="21"/>
      <c r="M63" s="21"/>
      <c r="N63" s="74"/>
      <c r="O63" s="74"/>
      <c r="P63" s="74"/>
      <c r="Q63" s="104"/>
    </row>
    <row r="64" spans="1:17" x14ac:dyDescent="0.35">
      <c r="A64" s="83">
        <v>6</v>
      </c>
      <c r="B64" s="90" t="s">
        <v>400</v>
      </c>
      <c r="C64" s="77">
        <v>40</v>
      </c>
      <c r="D64" s="77" t="s">
        <v>11</v>
      </c>
      <c r="E64" s="96">
        <v>46090</v>
      </c>
      <c r="F64" s="74" t="s">
        <v>236</v>
      </c>
      <c r="G64" s="21">
        <v>1.4602999999999999</v>
      </c>
      <c r="H64" s="21">
        <v>1.4926999999999999</v>
      </c>
      <c r="I64" s="77"/>
      <c r="J64" s="98">
        <f t="shared" si="5"/>
        <v>3.2399999999999984E-2</v>
      </c>
      <c r="K64" s="77"/>
      <c r="L64" s="21"/>
      <c r="M64" s="21"/>
      <c r="N64" s="74"/>
      <c r="O64" s="74"/>
      <c r="P64" s="74"/>
      <c r="Q64" s="104"/>
    </row>
    <row r="65" spans="1:17" x14ac:dyDescent="0.35">
      <c r="A65" s="83">
        <v>6</v>
      </c>
      <c r="B65" s="90" t="s">
        <v>400</v>
      </c>
      <c r="C65" s="77">
        <v>40</v>
      </c>
      <c r="D65" s="77" t="s">
        <v>11</v>
      </c>
      <c r="E65" s="96">
        <v>46090</v>
      </c>
      <c r="F65" s="74" t="s">
        <v>237</v>
      </c>
      <c r="G65" s="21">
        <v>1.4536</v>
      </c>
      <c r="H65" s="21">
        <v>1.4851000000000001</v>
      </c>
      <c r="I65" s="77"/>
      <c r="J65" s="98">
        <f t="shared" si="5"/>
        <v>3.1500000000000083E-2</v>
      </c>
      <c r="K65" s="77"/>
      <c r="L65" s="21"/>
      <c r="M65" s="21"/>
      <c r="N65" s="74"/>
      <c r="O65" s="74"/>
      <c r="P65" s="74"/>
      <c r="Q65" s="104"/>
    </row>
    <row r="66" spans="1:17" x14ac:dyDescent="0.35">
      <c r="A66" s="83">
        <v>6</v>
      </c>
      <c r="B66" s="90" t="s">
        <v>400</v>
      </c>
      <c r="C66" s="77">
        <v>40</v>
      </c>
      <c r="D66" s="77" t="s">
        <v>11</v>
      </c>
      <c r="E66" s="96">
        <v>46090</v>
      </c>
      <c r="F66" s="74" t="s">
        <v>238</v>
      </c>
      <c r="G66" s="21">
        <v>1.4563999999999999</v>
      </c>
      <c r="H66" s="21">
        <v>1.4815</v>
      </c>
      <c r="I66" s="77"/>
      <c r="J66" s="98">
        <f t="shared" si="5"/>
        <v>2.5100000000000122E-2</v>
      </c>
      <c r="K66" s="77"/>
      <c r="L66" s="21"/>
      <c r="M66" s="21"/>
      <c r="N66" s="74"/>
      <c r="O66" s="74"/>
      <c r="P66" s="74"/>
      <c r="Q66" s="104"/>
    </row>
    <row r="67" spans="1:17" x14ac:dyDescent="0.35">
      <c r="A67" s="79">
        <v>9</v>
      </c>
      <c r="B67" s="88" t="s">
        <v>400</v>
      </c>
      <c r="C67" s="71">
        <v>40</v>
      </c>
      <c r="D67" s="71" t="s">
        <v>10</v>
      </c>
      <c r="E67" s="92">
        <v>46111</v>
      </c>
      <c r="F67" s="71" t="s">
        <v>259</v>
      </c>
      <c r="G67" s="73">
        <v>1.4575</v>
      </c>
      <c r="H67" s="73">
        <v>1.5551999999999999</v>
      </c>
      <c r="I67" s="73">
        <v>1.4681</v>
      </c>
      <c r="J67" s="94">
        <f>H67-G67</f>
        <v>9.7699999999999898E-2</v>
      </c>
      <c r="K67" s="73">
        <f>AVERAGE(J67:J71)</f>
        <v>5.6719999999999923E-2</v>
      </c>
      <c r="L67" s="73">
        <f>SUM(J68)</f>
        <v>9.9199999999999955E-2</v>
      </c>
      <c r="M67" s="73">
        <f>SUM(J71)</f>
        <v>2.6699999999999946E-2</v>
      </c>
      <c r="N67" s="73">
        <f>SUM(I67-G67)</f>
        <v>1.0599999999999943E-2</v>
      </c>
      <c r="O67" s="73">
        <f>AVERAGE(N67:N71)</f>
        <v>9.020000000000028E-3</v>
      </c>
      <c r="P67" s="73">
        <f>SUM(N70)</f>
        <v>1.6599999999999948E-2</v>
      </c>
      <c r="Q67" s="102">
        <f>SUM(N69)</f>
        <v>2.7000000000001467E-3</v>
      </c>
    </row>
    <row r="68" spans="1:17" x14ac:dyDescent="0.35">
      <c r="A68" s="79">
        <v>9</v>
      </c>
      <c r="B68" s="88" t="s">
        <v>400</v>
      </c>
      <c r="C68" s="71">
        <v>40</v>
      </c>
      <c r="D68" s="71" t="s">
        <v>10</v>
      </c>
      <c r="E68" s="92">
        <v>46111</v>
      </c>
      <c r="F68" s="71" t="s">
        <v>260</v>
      </c>
      <c r="G68" s="73">
        <v>1.4601</v>
      </c>
      <c r="H68" s="73">
        <v>1.5592999999999999</v>
      </c>
      <c r="I68" s="73">
        <v>1.47</v>
      </c>
      <c r="J68" s="94">
        <f t="shared" ref="J68:J76" si="6">H68-G68</f>
        <v>9.9199999999999955E-2</v>
      </c>
      <c r="K68" s="73"/>
      <c r="L68" s="73"/>
      <c r="M68" s="73"/>
      <c r="N68" s="73">
        <f>SUM(I68-G68)</f>
        <v>9.9000000000000199E-3</v>
      </c>
      <c r="O68" s="71"/>
      <c r="P68" s="71"/>
      <c r="Q68" s="103"/>
    </row>
    <row r="69" spans="1:17" x14ac:dyDescent="0.35">
      <c r="A69" s="79">
        <v>9</v>
      </c>
      <c r="B69" s="88" t="s">
        <v>400</v>
      </c>
      <c r="C69" s="71">
        <v>40</v>
      </c>
      <c r="D69" s="71" t="s">
        <v>10</v>
      </c>
      <c r="E69" s="92">
        <v>46111</v>
      </c>
      <c r="F69" s="71" t="s">
        <v>261</v>
      </c>
      <c r="G69" s="73">
        <v>1.4641999999999999</v>
      </c>
      <c r="H69" s="73">
        <v>1.4965999999999999</v>
      </c>
      <c r="I69" s="73">
        <v>1.4669000000000001</v>
      </c>
      <c r="J69" s="94">
        <f t="shared" si="6"/>
        <v>3.2399999999999984E-2</v>
      </c>
      <c r="K69" s="73"/>
      <c r="L69" s="73"/>
      <c r="M69" s="73"/>
      <c r="N69" s="73">
        <f>SUM(I69-G69)</f>
        <v>2.7000000000001467E-3</v>
      </c>
      <c r="O69" s="71"/>
      <c r="P69" s="71"/>
      <c r="Q69" s="103"/>
    </row>
    <row r="70" spans="1:17" x14ac:dyDescent="0.35">
      <c r="A70" s="79">
        <v>9</v>
      </c>
      <c r="B70" s="88" t="s">
        <v>400</v>
      </c>
      <c r="C70" s="71">
        <v>40</v>
      </c>
      <c r="D70" s="71" t="s">
        <v>10</v>
      </c>
      <c r="E70" s="92">
        <v>46111</v>
      </c>
      <c r="F70" s="71" t="s">
        <v>262</v>
      </c>
      <c r="G70" s="73">
        <v>1.4468000000000001</v>
      </c>
      <c r="H70" s="73">
        <v>1.4743999999999999</v>
      </c>
      <c r="I70" s="73">
        <v>1.4634</v>
      </c>
      <c r="J70" s="94">
        <f t="shared" si="6"/>
        <v>2.7599999999999847E-2</v>
      </c>
      <c r="K70" s="73"/>
      <c r="L70" s="73"/>
      <c r="M70" s="73"/>
      <c r="N70" s="73">
        <f>SUM(I70-G70)</f>
        <v>1.6599999999999948E-2</v>
      </c>
      <c r="O70" s="71"/>
      <c r="P70" s="71"/>
      <c r="Q70" s="103"/>
    </row>
    <row r="71" spans="1:17" x14ac:dyDescent="0.35">
      <c r="A71" s="79">
        <v>9</v>
      </c>
      <c r="B71" s="88" t="s">
        <v>400</v>
      </c>
      <c r="C71" s="71">
        <v>40</v>
      </c>
      <c r="D71" s="71" t="s">
        <v>10</v>
      </c>
      <c r="E71" s="92">
        <v>46111</v>
      </c>
      <c r="F71" s="71" t="s">
        <v>263</v>
      </c>
      <c r="G71" s="73">
        <v>1.4556</v>
      </c>
      <c r="H71" s="73">
        <v>1.4823</v>
      </c>
      <c r="I71" s="73">
        <v>1.4609000000000001</v>
      </c>
      <c r="J71" s="94">
        <f t="shared" si="6"/>
        <v>2.6699999999999946E-2</v>
      </c>
      <c r="K71" s="73"/>
      <c r="L71" s="73"/>
      <c r="M71" s="73"/>
      <c r="N71" s="73">
        <f>SUM(I71-G71)</f>
        <v>5.3000000000000824E-3</v>
      </c>
      <c r="O71" s="71"/>
      <c r="P71" s="71"/>
      <c r="Q71" s="103"/>
    </row>
    <row r="72" spans="1:17" x14ac:dyDescent="0.35">
      <c r="A72" s="83">
        <v>9</v>
      </c>
      <c r="B72" s="90" t="s">
        <v>400</v>
      </c>
      <c r="C72" s="77">
        <v>40</v>
      </c>
      <c r="D72" s="74" t="s">
        <v>11</v>
      </c>
      <c r="E72" s="93">
        <v>46111</v>
      </c>
      <c r="F72" s="74" t="s">
        <v>264</v>
      </c>
      <c r="G72" s="21">
        <v>1.4533</v>
      </c>
      <c r="H72" s="21">
        <v>1.4891000000000001</v>
      </c>
      <c r="I72" s="74"/>
      <c r="J72" s="95">
        <f t="shared" si="6"/>
        <v>3.5800000000000054E-2</v>
      </c>
      <c r="K72" s="21">
        <f>AVERAGE(J72:J76)</f>
        <v>4.3880000000000009E-2</v>
      </c>
      <c r="L72" s="21">
        <f>SUM(J75)</f>
        <v>8.0399999999999805E-2</v>
      </c>
      <c r="M72" s="21">
        <f>SUM(J74)</f>
        <v>3.2200000000000006E-2</v>
      </c>
      <c r="N72" s="74"/>
      <c r="O72" s="74"/>
      <c r="P72" s="74"/>
      <c r="Q72" s="104"/>
    </row>
    <row r="73" spans="1:17" x14ac:dyDescent="0.35">
      <c r="A73" s="83">
        <v>9</v>
      </c>
      <c r="B73" s="90" t="s">
        <v>400</v>
      </c>
      <c r="C73" s="77">
        <v>40</v>
      </c>
      <c r="D73" s="74" t="s">
        <v>11</v>
      </c>
      <c r="E73" s="93">
        <v>46111</v>
      </c>
      <c r="F73" s="74" t="s">
        <v>265</v>
      </c>
      <c r="G73" s="21">
        <v>1.4529000000000001</v>
      </c>
      <c r="H73" s="21">
        <v>1.4852000000000001</v>
      </c>
      <c r="I73" s="74"/>
      <c r="J73" s="95">
        <f t="shared" si="6"/>
        <v>3.2299999999999995E-2</v>
      </c>
      <c r="K73" s="74"/>
      <c r="L73" s="21"/>
      <c r="M73" s="21"/>
      <c r="N73" s="74"/>
      <c r="O73" s="74"/>
      <c r="P73" s="74"/>
      <c r="Q73" s="104"/>
    </row>
    <row r="74" spans="1:17" x14ac:dyDescent="0.35">
      <c r="A74" s="83">
        <v>9</v>
      </c>
      <c r="B74" s="90" t="s">
        <v>400</v>
      </c>
      <c r="C74" s="77">
        <v>40</v>
      </c>
      <c r="D74" s="74" t="s">
        <v>11</v>
      </c>
      <c r="E74" s="93">
        <v>46111</v>
      </c>
      <c r="F74" s="74" t="s">
        <v>266</v>
      </c>
      <c r="G74" s="21">
        <v>1.4579</v>
      </c>
      <c r="H74" s="21">
        <v>1.4901</v>
      </c>
      <c r="I74" s="74"/>
      <c r="J74" s="95">
        <f t="shared" si="6"/>
        <v>3.2200000000000006E-2</v>
      </c>
      <c r="K74" s="74"/>
      <c r="L74" s="21"/>
      <c r="M74" s="21"/>
      <c r="N74" s="74"/>
      <c r="O74" s="74"/>
      <c r="P74" s="74"/>
      <c r="Q74" s="104"/>
    </row>
    <row r="75" spans="1:17" x14ac:dyDescent="0.35">
      <c r="A75" s="83">
        <v>9</v>
      </c>
      <c r="B75" s="90" t="s">
        <v>400</v>
      </c>
      <c r="C75" s="77">
        <v>40</v>
      </c>
      <c r="D75" s="74" t="s">
        <v>11</v>
      </c>
      <c r="E75" s="93">
        <v>46111</v>
      </c>
      <c r="F75" s="74" t="s">
        <v>267</v>
      </c>
      <c r="G75" s="21">
        <v>1.4568000000000001</v>
      </c>
      <c r="H75" s="21">
        <v>1.5371999999999999</v>
      </c>
      <c r="I75" s="74"/>
      <c r="J75" s="95">
        <f t="shared" si="6"/>
        <v>8.0399999999999805E-2</v>
      </c>
      <c r="K75" s="74"/>
      <c r="L75" s="21"/>
      <c r="M75" s="21"/>
      <c r="N75" s="74"/>
      <c r="O75" s="74"/>
      <c r="P75" s="74"/>
      <c r="Q75" s="104"/>
    </row>
    <row r="76" spans="1:17" x14ac:dyDescent="0.35">
      <c r="A76" s="83">
        <v>9</v>
      </c>
      <c r="B76" s="90" t="s">
        <v>400</v>
      </c>
      <c r="C76" s="77">
        <v>40</v>
      </c>
      <c r="D76" s="74" t="s">
        <v>11</v>
      </c>
      <c r="E76" s="93">
        <v>46111</v>
      </c>
      <c r="F76" s="74" t="s">
        <v>268</v>
      </c>
      <c r="G76" s="21">
        <v>1.4565999999999999</v>
      </c>
      <c r="H76" s="21">
        <v>1.4953000000000001</v>
      </c>
      <c r="I76" s="74"/>
      <c r="J76" s="95">
        <f t="shared" si="6"/>
        <v>3.8700000000000179E-2</v>
      </c>
      <c r="K76" s="74"/>
      <c r="L76" s="21"/>
      <c r="M76" s="21"/>
      <c r="N76" s="74"/>
      <c r="O76" s="74"/>
      <c r="P76" s="74"/>
      <c r="Q76" s="104"/>
    </row>
    <row r="77" spans="1:17" x14ac:dyDescent="0.35">
      <c r="A77" s="79">
        <v>12</v>
      </c>
      <c r="B77" s="88" t="s">
        <v>400</v>
      </c>
      <c r="C77" s="71">
        <v>40</v>
      </c>
      <c r="D77" s="71" t="s">
        <v>10</v>
      </c>
      <c r="E77" s="92">
        <v>46133</v>
      </c>
      <c r="F77" s="71" t="s">
        <v>412</v>
      </c>
      <c r="G77" s="73">
        <v>1.4565999999999999</v>
      </c>
      <c r="H77" s="73">
        <v>1.5048999999999999</v>
      </c>
      <c r="I77" s="73">
        <v>1.468</v>
      </c>
      <c r="J77" s="94">
        <f>SUM(H77-G77)</f>
        <v>4.830000000000001E-2</v>
      </c>
      <c r="K77" s="73">
        <f>AVERAGE(J77:J81)</f>
        <v>4.7319999999999987E-2</v>
      </c>
      <c r="L77" s="73">
        <f>SUM(J81)</f>
        <v>4.9100000000000144E-2</v>
      </c>
      <c r="M77" s="73">
        <f>SUM(J78)</f>
        <v>4.5599999999999863E-2</v>
      </c>
      <c r="N77" s="73">
        <f>SUM(I77-G77)</f>
        <v>1.1400000000000077E-2</v>
      </c>
      <c r="O77" s="73">
        <f>AVERAGE(N77:N81)</f>
        <v>1.0960000000000036E-2</v>
      </c>
      <c r="P77" s="73">
        <f>SUM(N80)</f>
        <v>1.1400000000000077E-2</v>
      </c>
      <c r="Q77" s="102">
        <f>SUM(N78)</f>
        <v>1.0299999999999976E-2</v>
      </c>
    </row>
    <row r="78" spans="1:17" x14ac:dyDescent="0.35">
      <c r="A78" s="79">
        <v>12</v>
      </c>
      <c r="B78" s="88" t="s">
        <v>400</v>
      </c>
      <c r="C78" s="71">
        <v>40</v>
      </c>
      <c r="D78" s="71" t="s">
        <v>10</v>
      </c>
      <c r="E78" s="92">
        <v>46133</v>
      </c>
      <c r="F78" s="71" t="s">
        <v>413</v>
      </c>
      <c r="G78" s="73">
        <v>1.4612000000000001</v>
      </c>
      <c r="H78" s="73">
        <v>1.5067999999999999</v>
      </c>
      <c r="I78" s="73">
        <v>1.4715</v>
      </c>
      <c r="J78" s="94">
        <f t="shared" ref="J78:J86" si="7">SUM(H78-G78)</f>
        <v>4.5599999999999863E-2</v>
      </c>
      <c r="K78" s="71"/>
      <c r="L78" s="71"/>
      <c r="M78" s="71"/>
      <c r="N78" s="73">
        <f>SUM(I78-G78)</f>
        <v>1.0299999999999976E-2</v>
      </c>
      <c r="O78" s="71"/>
      <c r="P78" s="71"/>
      <c r="Q78" s="103"/>
    </row>
    <row r="79" spans="1:17" x14ac:dyDescent="0.35">
      <c r="A79" s="79">
        <v>12</v>
      </c>
      <c r="B79" s="88" t="s">
        <v>400</v>
      </c>
      <c r="C79" s="71">
        <v>40</v>
      </c>
      <c r="D79" s="71" t="s">
        <v>10</v>
      </c>
      <c r="E79" s="92">
        <v>46133</v>
      </c>
      <c r="F79" s="71" t="s">
        <v>414</v>
      </c>
      <c r="G79" s="73">
        <v>1.4590000000000001</v>
      </c>
      <c r="H79" s="73">
        <v>1.5065999999999999</v>
      </c>
      <c r="I79" s="73">
        <v>1.4702999999999999</v>
      </c>
      <c r="J79" s="94">
        <f t="shared" si="7"/>
        <v>4.7599999999999865E-2</v>
      </c>
      <c r="K79" s="71"/>
      <c r="L79" s="71"/>
      <c r="M79" s="71"/>
      <c r="N79" s="73">
        <f>SUM(I79-G79)</f>
        <v>1.1299999999999866E-2</v>
      </c>
      <c r="O79" s="71"/>
      <c r="P79" s="71"/>
      <c r="Q79" s="103"/>
    </row>
    <row r="80" spans="1:17" x14ac:dyDescent="0.35">
      <c r="A80" s="79">
        <v>12</v>
      </c>
      <c r="B80" s="88" t="s">
        <v>400</v>
      </c>
      <c r="C80" s="71">
        <v>40</v>
      </c>
      <c r="D80" s="71" t="s">
        <v>10</v>
      </c>
      <c r="E80" s="92">
        <v>46133</v>
      </c>
      <c r="F80" s="71" t="s">
        <v>415</v>
      </c>
      <c r="G80" s="73">
        <v>1.4557</v>
      </c>
      <c r="H80" s="73">
        <v>1.5017</v>
      </c>
      <c r="I80" s="73">
        <v>1.4671000000000001</v>
      </c>
      <c r="J80" s="94">
        <f t="shared" si="7"/>
        <v>4.6000000000000041E-2</v>
      </c>
      <c r="K80" s="71"/>
      <c r="L80" s="71"/>
      <c r="M80" s="71"/>
      <c r="N80" s="73">
        <f>SUM(I80-G80)</f>
        <v>1.1400000000000077E-2</v>
      </c>
      <c r="O80" s="71"/>
      <c r="P80" s="71"/>
      <c r="Q80" s="103"/>
    </row>
    <row r="81" spans="1:19" x14ac:dyDescent="0.35">
      <c r="A81" s="79">
        <v>12</v>
      </c>
      <c r="B81" s="88" t="s">
        <v>400</v>
      </c>
      <c r="C81" s="71">
        <v>40</v>
      </c>
      <c r="D81" s="71" t="s">
        <v>10</v>
      </c>
      <c r="E81" s="92">
        <v>46133</v>
      </c>
      <c r="F81" s="71" t="s">
        <v>416</v>
      </c>
      <c r="G81" s="73">
        <v>1.4524999999999999</v>
      </c>
      <c r="H81" s="73">
        <v>1.5016</v>
      </c>
      <c r="I81" s="73">
        <v>1.4629000000000001</v>
      </c>
      <c r="J81" s="94">
        <f t="shared" si="7"/>
        <v>4.9100000000000144E-2</v>
      </c>
      <c r="K81" s="71"/>
      <c r="L81" s="71"/>
      <c r="M81" s="71"/>
      <c r="N81" s="73">
        <f>SUM(I81-G81)</f>
        <v>1.0400000000000187E-2</v>
      </c>
      <c r="O81" s="71"/>
      <c r="P81" s="71"/>
      <c r="Q81" s="103"/>
    </row>
    <row r="82" spans="1:19" x14ac:dyDescent="0.35">
      <c r="A82" s="83">
        <v>12</v>
      </c>
      <c r="B82" s="90" t="s">
        <v>400</v>
      </c>
      <c r="C82" s="77">
        <v>40</v>
      </c>
      <c r="D82" s="74" t="s">
        <v>11</v>
      </c>
      <c r="E82" s="93">
        <v>46133</v>
      </c>
      <c r="F82" s="74" t="s">
        <v>417</v>
      </c>
      <c r="G82" s="21">
        <v>1.4592000000000001</v>
      </c>
      <c r="H82" s="21">
        <v>1.4948999999999999</v>
      </c>
      <c r="I82" s="74"/>
      <c r="J82" s="95">
        <f t="shared" si="7"/>
        <v>3.5699999999999843E-2</v>
      </c>
      <c r="K82" s="21">
        <f>AVERAGE(J82:J86)</f>
        <v>4.719999999999995E-2</v>
      </c>
      <c r="L82" s="21">
        <f>SUM(J83)</f>
        <v>6.1999999999999833E-2</v>
      </c>
      <c r="M82" s="21">
        <f>SUM(J82)</f>
        <v>3.5699999999999843E-2</v>
      </c>
      <c r="N82" s="74"/>
      <c r="O82" s="74"/>
      <c r="P82" s="74"/>
      <c r="Q82" s="104"/>
    </row>
    <row r="83" spans="1:19" x14ac:dyDescent="0.35">
      <c r="A83" s="83">
        <v>12</v>
      </c>
      <c r="B83" s="90" t="s">
        <v>400</v>
      </c>
      <c r="C83" s="77">
        <v>40</v>
      </c>
      <c r="D83" s="74" t="s">
        <v>11</v>
      </c>
      <c r="E83" s="93">
        <v>46133</v>
      </c>
      <c r="F83" s="74" t="s">
        <v>418</v>
      </c>
      <c r="G83" s="21">
        <v>1.4531000000000001</v>
      </c>
      <c r="H83" s="21">
        <v>1.5150999999999999</v>
      </c>
      <c r="I83" s="74"/>
      <c r="J83" s="95">
        <f t="shared" si="7"/>
        <v>6.1999999999999833E-2</v>
      </c>
      <c r="K83" s="74"/>
      <c r="L83" s="74"/>
      <c r="M83" s="74"/>
      <c r="N83" s="74"/>
      <c r="O83" s="74"/>
      <c r="P83" s="74"/>
      <c r="Q83" s="104"/>
    </row>
    <row r="84" spans="1:19" x14ac:dyDescent="0.35">
      <c r="A84" s="83">
        <v>12</v>
      </c>
      <c r="B84" s="90" t="s">
        <v>400</v>
      </c>
      <c r="C84" s="77">
        <v>40</v>
      </c>
      <c r="D84" s="74" t="s">
        <v>11</v>
      </c>
      <c r="E84" s="93">
        <v>46133</v>
      </c>
      <c r="F84" s="74" t="s">
        <v>419</v>
      </c>
      <c r="G84" s="21">
        <v>1.4515</v>
      </c>
      <c r="H84" s="21">
        <v>1.4994000000000001</v>
      </c>
      <c r="I84" s="74"/>
      <c r="J84" s="95">
        <f t="shared" si="7"/>
        <v>4.7900000000000054E-2</v>
      </c>
      <c r="K84" s="74"/>
      <c r="L84" s="74"/>
      <c r="M84" s="74"/>
      <c r="N84" s="74"/>
      <c r="O84" s="74"/>
      <c r="P84" s="74"/>
      <c r="Q84" s="104"/>
    </row>
    <row r="85" spans="1:19" x14ac:dyDescent="0.35">
      <c r="A85" s="83">
        <v>12</v>
      </c>
      <c r="B85" s="90" t="s">
        <v>400</v>
      </c>
      <c r="C85" s="77">
        <v>40</v>
      </c>
      <c r="D85" s="74" t="s">
        <v>11</v>
      </c>
      <c r="E85" s="93">
        <v>46133</v>
      </c>
      <c r="F85" s="74" t="s">
        <v>420</v>
      </c>
      <c r="G85" s="21">
        <v>1.4621</v>
      </c>
      <c r="H85" s="21">
        <v>1.5081</v>
      </c>
      <c r="I85" s="74"/>
      <c r="J85" s="95">
        <f t="shared" si="7"/>
        <v>4.6000000000000041E-2</v>
      </c>
      <c r="K85" s="74"/>
      <c r="L85" s="74"/>
      <c r="M85" s="74"/>
      <c r="N85" s="74"/>
      <c r="O85" s="74"/>
      <c r="P85" s="74"/>
      <c r="Q85" s="104"/>
    </row>
    <row r="86" spans="1:19" ht="15" thickBot="1" x14ac:dyDescent="0.4">
      <c r="A86" s="87">
        <v>12</v>
      </c>
      <c r="B86" s="91" t="s">
        <v>400</v>
      </c>
      <c r="C86" s="77">
        <v>40</v>
      </c>
      <c r="D86" s="84" t="s">
        <v>11</v>
      </c>
      <c r="E86" s="97">
        <v>46133</v>
      </c>
      <c r="F86" s="84" t="s">
        <v>421</v>
      </c>
      <c r="G86" s="23">
        <v>1.4651000000000001</v>
      </c>
      <c r="H86" s="23">
        <v>1.5095000000000001</v>
      </c>
      <c r="I86" s="84"/>
      <c r="J86" s="99">
        <f t="shared" si="7"/>
        <v>4.4399999999999995E-2</v>
      </c>
      <c r="K86" s="84"/>
      <c r="L86" s="84"/>
      <c r="M86" s="84"/>
      <c r="N86" s="84"/>
      <c r="O86" s="84"/>
      <c r="P86" s="84"/>
      <c r="Q86" s="105"/>
    </row>
    <row r="87" spans="1:19" x14ac:dyDescent="0.35">
      <c r="A87" s="198" t="s">
        <v>556</v>
      </c>
      <c r="B87" s="199"/>
      <c r="C87" s="199"/>
      <c r="D87" s="199"/>
      <c r="E87" s="199"/>
      <c r="F87" s="199"/>
      <c r="G87" s="199"/>
      <c r="H87" s="199"/>
      <c r="I87" s="199"/>
      <c r="J87" s="199"/>
      <c r="K87" s="199"/>
      <c r="L87" s="199"/>
      <c r="M87" s="199"/>
      <c r="N87" s="199"/>
      <c r="O87" s="199"/>
      <c r="P87" s="199"/>
      <c r="Q87" s="200"/>
    </row>
    <row r="88" spans="1:19" x14ac:dyDescent="0.35">
      <c r="A88" s="79">
        <v>3</v>
      </c>
      <c r="B88" s="71" t="s">
        <v>400</v>
      </c>
      <c r="C88" s="71">
        <v>60</v>
      </c>
      <c r="D88" s="71" t="s">
        <v>10</v>
      </c>
      <c r="E88" s="72">
        <v>46070</v>
      </c>
      <c r="F88" s="71" t="s">
        <v>209</v>
      </c>
      <c r="G88" s="73">
        <v>1.45</v>
      </c>
      <c r="H88" s="73">
        <v>1.4883</v>
      </c>
      <c r="I88" s="73">
        <v>1.4669000000000001</v>
      </c>
      <c r="J88" s="73">
        <f>SUM(H88-G88)</f>
        <v>3.8300000000000001E-2</v>
      </c>
      <c r="K88" s="73">
        <f>AVERAGE(J88:J92)</f>
        <v>3.8019999999999984E-2</v>
      </c>
      <c r="L88" s="73">
        <f>SUM(J91)</f>
        <v>3.9400000000000102E-2</v>
      </c>
      <c r="M88" s="73">
        <f>SUM(J90)</f>
        <v>3.4799999999999942E-2</v>
      </c>
      <c r="N88" s="73">
        <f>SUM(I88-G88)</f>
        <v>1.6900000000000137E-2</v>
      </c>
      <c r="O88" s="73">
        <f>AVERAGE(N88:N92)</f>
        <v>1.4200000000000036E-2</v>
      </c>
      <c r="P88" s="73">
        <f>SUM(N88)</f>
        <v>1.6900000000000137E-2</v>
      </c>
      <c r="Q88" s="80">
        <f>SUM(N90)</f>
        <v>1.1400000000000077E-2</v>
      </c>
    </row>
    <row r="89" spans="1:19" x14ac:dyDescent="0.35">
      <c r="A89" s="79">
        <v>3</v>
      </c>
      <c r="B89" s="71" t="s">
        <v>400</v>
      </c>
      <c r="C89" s="71">
        <v>60</v>
      </c>
      <c r="D89" s="71" t="s">
        <v>10</v>
      </c>
      <c r="E89" s="72">
        <v>46070</v>
      </c>
      <c r="F89" s="71" t="s">
        <v>210</v>
      </c>
      <c r="G89" s="73">
        <v>1.4511000000000001</v>
      </c>
      <c r="H89" s="73">
        <v>1.4895</v>
      </c>
      <c r="I89" s="73">
        <v>1.4641</v>
      </c>
      <c r="J89" s="73">
        <f t="shared" ref="J89:J97" si="8">SUM(H89-G89)</f>
        <v>3.839999999999999E-2</v>
      </c>
      <c r="K89" s="73"/>
      <c r="L89" s="73"/>
      <c r="M89" s="73"/>
      <c r="N89" s="73">
        <f>SUM(I89-G89)</f>
        <v>1.2999999999999901E-2</v>
      </c>
      <c r="O89" s="71"/>
      <c r="P89" s="71"/>
      <c r="Q89" s="81"/>
    </row>
    <row r="90" spans="1:19" x14ac:dyDescent="0.35">
      <c r="A90" s="79">
        <v>3</v>
      </c>
      <c r="B90" s="71" t="s">
        <v>400</v>
      </c>
      <c r="C90" s="71">
        <v>60</v>
      </c>
      <c r="D90" s="71" t="s">
        <v>10</v>
      </c>
      <c r="E90" s="72">
        <v>46070</v>
      </c>
      <c r="F90" s="71" t="s">
        <v>211</v>
      </c>
      <c r="G90" s="73">
        <v>1.4518</v>
      </c>
      <c r="H90" s="73">
        <v>1.4865999999999999</v>
      </c>
      <c r="I90" s="73">
        <v>1.4632000000000001</v>
      </c>
      <c r="J90" s="73">
        <f t="shared" si="8"/>
        <v>3.4799999999999942E-2</v>
      </c>
      <c r="K90" s="73"/>
      <c r="L90" s="73"/>
      <c r="M90" s="73"/>
      <c r="N90" s="73">
        <f>SUM(I90-G90)</f>
        <v>1.1400000000000077E-2</v>
      </c>
      <c r="O90" s="71"/>
      <c r="P90" s="71"/>
      <c r="Q90" s="81"/>
    </row>
    <row r="91" spans="1:19" x14ac:dyDescent="0.35">
      <c r="A91" s="79">
        <v>3</v>
      </c>
      <c r="B91" s="71" t="s">
        <v>400</v>
      </c>
      <c r="C91" s="71">
        <v>60</v>
      </c>
      <c r="D91" s="71" t="s">
        <v>10</v>
      </c>
      <c r="E91" s="72">
        <v>46070</v>
      </c>
      <c r="F91" s="71" t="s">
        <v>212</v>
      </c>
      <c r="G91" s="73">
        <v>1.4641999999999999</v>
      </c>
      <c r="H91" s="73">
        <v>1.5036</v>
      </c>
      <c r="I91" s="73">
        <v>1.4794</v>
      </c>
      <c r="J91" s="73">
        <f t="shared" si="8"/>
        <v>3.9400000000000102E-2</v>
      </c>
      <c r="K91" s="73"/>
      <c r="L91" s="73"/>
      <c r="M91" s="73"/>
      <c r="N91" s="73">
        <f>SUM(I91-G91)</f>
        <v>1.5200000000000102E-2</v>
      </c>
      <c r="O91" s="71"/>
      <c r="P91" s="71"/>
      <c r="Q91" s="81"/>
      <c r="S91" s="30"/>
    </row>
    <row r="92" spans="1:19" x14ac:dyDescent="0.35">
      <c r="A92" s="79">
        <v>3</v>
      </c>
      <c r="B92" s="71" t="s">
        <v>400</v>
      </c>
      <c r="C92" s="71">
        <v>60</v>
      </c>
      <c r="D92" s="71" t="s">
        <v>10</v>
      </c>
      <c r="E92" s="72">
        <v>46070</v>
      </c>
      <c r="F92" s="71" t="s">
        <v>213</v>
      </c>
      <c r="G92" s="73">
        <v>1.4555</v>
      </c>
      <c r="H92" s="73">
        <v>1.4946999999999999</v>
      </c>
      <c r="I92" s="73">
        <v>1.47</v>
      </c>
      <c r="J92" s="73">
        <f t="shared" si="8"/>
        <v>3.9199999999999902E-2</v>
      </c>
      <c r="K92" s="73"/>
      <c r="L92" s="73"/>
      <c r="M92" s="73"/>
      <c r="N92" s="73">
        <f>SUM(I92-G92)</f>
        <v>1.4499999999999957E-2</v>
      </c>
      <c r="O92" s="71"/>
      <c r="P92" s="71"/>
      <c r="Q92" s="81"/>
    </row>
    <row r="93" spans="1:19" x14ac:dyDescent="0.35">
      <c r="A93" s="10">
        <v>3</v>
      </c>
      <c r="B93" s="77" t="s">
        <v>400</v>
      </c>
      <c r="C93" s="77">
        <v>60</v>
      </c>
      <c r="D93" s="74" t="s">
        <v>11</v>
      </c>
      <c r="E93" s="75">
        <v>46070</v>
      </c>
      <c r="F93" s="74" t="s">
        <v>214</v>
      </c>
      <c r="G93" s="21">
        <v>1.4559</v>
      </c>
      <c r="H93" s="21">
        <v>1.4955000000000001</v>
      </c>
      <c r="I93" s="21"/>
      <c r="J93" s="76">
        <f t="shared" si="8"/>
        <v>3.960000000000008E-2</v>
      </c>
      <c r="K93" s="21">
        <f>AVERAGE(J93:J97)</f>
        <v>4.3640000000000033E-2</v>
      </c>
      <c r="L93" s="21">
        <f>SUM(J96)</f>
        <v>4.9500000000000099E-2</v>
      </c>
      <c r="M93" s="21">
        <f>SUM(J93)</f>
        <v>3.960000000000008E-2</v>
      </c>
      <c r="N93" s="74"/>
      <c r="O93" s="74"/>
      <c r="P93" s="74"/>
      <c r="Q93" s="82"/>
    </row>
    <row r="94" spans="1:19" x14ac:dyDescent="0.35">
      <c r="A94" s="10">
        <v>3</v>
      </c>
      <c r="B94" s="77" t="s">
        <v>400</v>
      </c>
      <c r="C94" s="77">
        <v>60</v>
      </c>
      <c r="D94" s="74" t="s">
        <v>11</v>
      </c>
      <c r="E94" s="75">
        <v>46070</v>
      </c>
      <c r="F94" s="74" t="s">
        <v>215</v>
      </c>
      <c r="G94" s="21">
        <v>1.4646999999999999</v>
      </c>
      <c r="H94" s="21">
        <v>1.5089999999999999</v>
      </c>
      <c r="I94" s="21"/>
      <c r="J94" s="76">
        <f t="shared" si="8"/>
        <v>4.4300000000000006E-2</v>
      </c>
      <c r="K94" s="21"/>
      <c r="L94" s="21"/>
      <c r="M94" s="21"/>
      <c r="N94" s="74"/>
      <c r="O94" s="74"/>
      <c r="P94" s="74"/>
      <c r="Q94" s="82"/>
    </row>
    <row r="95" spans="1:19" x14ac:dyDescent="0.35">
      <c r="A95" s="10">
        <v>3</v>
      </c>
      <c r="B95" s="77" t="s">
        <v>400</v>
      </c>
      <c r="C95" s="77">
        <v>60</v>
      </c>
      <c r="D95" s="74" t="s">
        <v>11</v>
      </c>
      <c r="E95" s="75">
        <v>46070</v>
      </c>
      <c r="F95" s="74" t="s">
        <v>216</v>
      </c>
      <c r="G95" s="21">
        <v>1.4614</v>
      </c>
      <c r="H95" s="21">
        <v>1.5029999999999999</v>
      </c>
      <c r="I95" s="21"/>
      <c r="J95" s="76">
        <f t="shared" si="8"/>
        <v>4.1599999999999859E-2</v>
      </c>
      <c r="K95" s="21"/>
      <c r="L95" s="21"/>
      <c r="M95" s="21"/>
      <c r="N95" s="74"/>
      <c r="O95" s="74"/>
      <c r="P95" s="74"/>
      <c r="Q95" s="82"/>
    </row>
    <row r="96" spans="1:19" x14ac:dyDescent="0.35">
      <c r="A96" s="10">
        <v>3</v>
      </c>
      <c r="B96" s="77" t="s">
        <v>400</v>
      </c>
      <c r="C96" s="77">
        <v>60</v>
      </c>
      <c r="D96" s="74" t="s">
        <v>11</v>
      </c>
      <c r="E96" s="75">
        <v>46070</v>
      </c>
      <c r="F96" s="74" t="s">
        <v>217</v>
      </c>
      <c r="G96" s="21">
        <v>1.4578</v>
      </c>
      <c r="H96" s="21">
        <v>1.5073000000000001</v>
      </c>
      <c r="I96" s="21"/>
      <c r="J96" s="76">
        <f t="shared" si="8"/>
        <v>4.9500000000000099E-2</v>
      </c>
      <c r="K96" s="21"/>
      <c r="L96" s="21"/>
      <c r="M96" s="21"/>
      <c r="N96" s="74"/>
      <c r="O96" s="74"/>
      <c r="P96" s="74"/>
      <c r="Q96" s="82"/>
    </row>
    <row r="97" spans="1:17" x14ac:dyDescent="0.35">
      <c r="A97" s="10">
        <v>3</v>
      </c>
      <c r="B97" s="77" t="s">
        <v>400</v>
      </c>
      <c r="C97" s="77">
        <v>60</v>
      </c>
      <c r="D97" s="74" t="s">
        <v>11</v>
      </c>
      <c r="E97" s="75">
        <v>46070</v>
      </c>
      <c r="F97" s="74" t="s">
        <v>218</v>
      </c>
      <c r="G97" s="21">
        <v>1.444</v>
      </c>
      <c r="H97" s="21">
        <v>1.4872000000000001</v>
      </c>
      <c r="I97" s="21"/>
      <c r="J97" s="76">
        <f t="shared" si="8"/>
        <v>4.3200000000000127E-2</v>
      </c>
      <c r="K97" s="21"/>
      <c r="L97" s="21"/>
      <c r="M97" s="21"/>
      <c r="N97" s="74"/>
      <c r="O97" s="74"/>
      <c r="P97" s="74"/>
      <c r="Q97" s="82"/>
    </row>
    <row r="98" spans="1:17" x14ac:dyDescent="0.35">
      <c r="A98" s="79">
        <v>6</v>
      </c>
      <c r="B98" s="71" t="s">
        <v>400</v>
      </c>
      <c r="C98" s="71">
        <v>60</v>
      </c>
      <c r="D98" s="71" t="s">
        <v>10</v>
      </c>
      <c r="E98" s="72">
        <v>46090</v>
      </c>
      <c r="F98" s="71" t="s">
        <v>239</v>
      </c>
      <c r="G98" s="73">
        <v>1.4548000000000001</v>
      </c>
      <c r="H98" s="73">
        <v>1.4977</v>
      </c>
      <c r="I98" s="73">
        <v>1.4662999999999999</v>
      </c>
      <c r="J98" s="73">
        <f>H98-G98</f>
        <v>4.2899999999999938E-2</v>
      </c>
      <c r="K98" s="73">
        <f>AVERAGE(J98:J102)</f>
        <v>4.2900000000000028E-2</v>
      </c>
      <c r="L98" s="73">
        <f>SUM(J100)</f>
        <v>4.7199999999999909E-2</v>
      </c>
      <c r="M98" s="73">
        <f>SUM(J101)</f>
        <v>3.7700000000000067E-2</v>
      </c>
      <c r="N98" s="73">
        <f>SUM(I98-G98)</f>
        <v>1.1499999999999844E-2</v>
      </c>
      <c r="O98" s="73">
        <f>AVERAGE(N98:N102)</f>
        <v>9.7599999999999458E-3</v>
      </c>
      <c r="P98" s="73">
        <f>SUM(N100)</f>
        <v>1.5899999999999803E-2</v>
      </c>
      <c r="Q98" s="80">
        <f>SUM(N99)</f>
        <v>6.0999999999999943E-3</v>
      </c>
    </row>
    <row r="99" spans="1:17" x14ac:dyDescent="0.35">
      <c r="A99" s="79">
        <v>6</v>
      </c>
      <c r="B99" s="71" t="s">
        <v>400</v>
      </c>
      <c r="C99" s="71">
        <v>60</v>
      </c>
      <c r="D99" s="71" t="s">
        <v>10</v>
      </c>
      <c r="E99" s="72">
        <v>46090</v>
      </c>
      <c r="F99" s="71" t="s">
        <v>240</v>
      </c>
      <c r="G99" s="73">
        <v>1.4657</v>
      </c>
      <c r="H99" s="73">
        <v>1.5111000000000001</v>
      </c>
      <c r="I99" s="73">
        <v>1.4718</v>
      </c>
      <c r="J99" s="73">
        <f t="shared" ref="J99:J107" si="9">H99-G99</f>
        <v>4.5400000000000107E-2</v>
      </c>
      <c r="K99" s="73"/>
      <c r="L99" s="73"/>
      <c r="M99" s="73"/>
      <c r="N99" s="73">
        <f>SUM(I99-G99)</f>
        <v>6.0999999999999943E-3</v>
      </c>
      <c r="O99" s="71"/>
      <c r="P99" s="71"/>
      <c r="Q99" s="81"/>
    </row>
    <row r="100" spans="1:17" x14ac:dyDescent="0.35">
      <c r="A100" s="79">
        <v>6</v>
      </c>
      <c r="B100" s="71" t="s">
        <v>400</v>
      </c>
      <c r="C100" s="71">
        <v>60</v>
      </c>
      <c r="D100" s="71" t="s">
        <v>10</v>
      </c>
      <c r="E100" s="72">
        <v>46090</v>
      </c>
      <c r="F100" s="71" t="s">
        <v>241</v>
      </c>
      <c r="G100" s="73">
        <v>1.4547000000000001</v>
      </c>
      <c r="H100" s="73">
        <v>1.5019</v>
      </c>
      <c r="I100" s="73">
        <v>1.4705999999999999</v>
      </c>
      <c r="J100" s="73">
        <f t="shared" si="9"/>
        <v>4.7199999999999909E-2</v>
      </c>
      <c r="K100" s="73"/>
      <c r="L100" s="73"/>
      <c r="M100" s="73"/>
      <c r="N100" s="73">
        <f>SUM(I100-G100)</f>
        <v>1.5899999999999803E-2</v>
      </c>
      <c r="O100" s="71"/>
      <c r="P100" s="71"/>
      <c r="Q100" s="81"/>
    </row>
    <row r="101" spans="1:17" x14ac:dyDescent="0.35">
      <c r="A101" s="79">
        <v>6</v>
      </c>
      <c r="B101" s="71" t="s">
        <v>400</v>
      </c>
      <c r="C101" s="71">
        <v>60</v>
      </c>
      <c r="D101" s="71" t="s">
        <v>10</v>
      </c>
      <c r="E101" s="72">
        <v>46090</v>
      </c>
      <c r="F101" s="71" t="s">
        <v>242</v>
      </c>
      <c r="G101" s="73">
        <v>1.4618</v>
      </c>
      <c r="H101" s="73">
        <v>1.4995000000000001</v>
      </c>
      <c r="I101" s="73">
        <v>1.4685999999999999</v>
      </c>
      <c r="J101" s="73">
        <f t="shared" si="9"/>
        <v>3.7700000000000067E-2</v>
      </c>
      <c r="K101" s="73"/>
      <c r="L101" s="73"/>
      <c r="M101" s="73"/>
      <c r="N101" s="73">
        <f>SUM(I101-G101)</f>
        <v>6.7999999999999172E-3</v>
      </c>
      <c r="O101" s="71"/>
      <c r="P101" s="71"/>
      <c r="Q101" s="81"/>
    </row>
    <row r="102" spans="1:17" x14ac:dyDescent="0.35">
      <c r="A102" s="79">
        <v>6</v>
      </c>
      <c r="B102" s="71" t="s">
        <v>400</v>
      </c>
      <c r="C102" s="71">
        <v>60</v>
      </c>
      <c r="D102" s="71" t="s">
        <v>10</v>
      </c>
      <c r="E102" s="72">
        <v>46090</v>
      </c>
      <c r="F102" s="71" t="s">
        <v>243</v>
      </c>
      <c r="G102" s="73">
        <v>1.4603999999999999</v>
      </c>
      <c r="H102" s="73">
        <v>1.5017</v>
      </c>
      <c r="I102" s="73">
        <v>1.4689000000000001</v>
      </c>
      <c r="J102" s="73">
        <f t="shared" si="9"/>
        <v>4.1300000000000114E-2</v>
      </c>
      <c r="K102" s="73"/>
      <c r="L102" s="73"/>
      <c r="M102" s="73"/>
      <c r="N102" s="73">
        <f>SUM(I102-G102)</f>
        <v>8.5000000000001741E-3</v>
      </c>
      <c r="O102" s="71"/>
      <c r="P102" s="71"/>
      <c r="Q102" s="81"/>
    </row>
    <row r="103" spans="1:17" x14ac:dyDescent="0.35">
      <c r="A103" s="83">
        <v>6</v>
      </c>
      <c r="B103" s="77" t="s">
        <v>400</v>
      </c>
      <c r="C103" s="77">
        <v>60</v>
      </c>
      <c r="D103" s="77" t="s">
        <v>11</v>
      </c>
      <c r="E103" s="78">
        <v>46090</v>
      </c>
      <c r="F103" s="74" t="s">
        <v>244</v>
      </c>
      <c r="G103" s="21">
        <v>1.4642999999999999</v>
      </c>
      <c r="H103" s="21">
        <v>1.5088999999999999</v>
      </c>
      <c r="I103" s="77"/>
      <c r="J103" s="76">
        <f t="shared" si="9"/>
        <v>4.4599999999999973E-2</v>
      </c>
      <c r="K103" s="76">
        <f>AVERAGE(J103:J107)</f>
        <v>4.263999999999997E-2</v>
      </c>
      <c r="L103" s="21">
        <f>SUM(J103)</f>
        <v>4.4599999999999973E-2</v>
      </c>
      <c r="M103" s="21">
        <f>SUM(J106)</f>
        <v>4.0999999999999925E-2</v>
      </c>
      <c r="N103" s="74"/>
      <c r="O103" s="74"/>
      <c r="P103" s="74"/>
      <c r="Q103" s="82"/>
    </row>
    <row r="104" spans="1:17" x14ac:dyDescent="0.35">
      <c r="A104" s="83">
        <v>6</v>
      </c>
      <c r="B104" s="77" t="s">
        <v>400</v>
      </c>
      <c r="C104" s="77">
        <v>60</v>
      </c>
      <c r="D104" s="77" t="s">
        <v>11</v>
      </c>
      <c r="E104" s="78">
        <v>46090</v>
      </c>
      <c r="F104" s="74" t="s">
        <v>245</v>
      </c>
      <c r="G104" s="21">
        <v>1.4610000000000001</v>
      </c>
      <c r="H104" s="21">
        <v>1.5035000000000001</v>
      </c>
      <c r="I104" s="77"/>
      <c r="J104" s="76">
        <f t="shared" si="9"/>
        <v>4.2499999999999982E-2</v>
      </c>
      <c r="K104" s="77"/>
      <c r="L104" s="21"/>
      <c r="M104" s="21"/>
      <c r="N104" s="74"/>
      <c r="O104" s="74"/>
      <c r="P104" s="74"/>
      <c r="Q104" s="82"/>
    </row>
    <row r="105" spans="1:17" x14ac:dyDescent="0.35">
      <c r="A105" s="83">
        <v>6</v>
      </c>
      <c r="B105" s="77" t="s">
        <v>400</v>
      </c>
      <c r="C105" s="77">
        <v>60</v>
      </c>
      <c r="D105" s="77" t="s">
        <v>11</v>
      </c>
      <c r="E105" s="78">
        <v>46090</v>
      </c>
      <c r="F105" s="74" t="s">
        <v>246</v>
      </c>
      <c r="G105" s="21">
        <v>1.4514</v>
      </c>
      <c r="H105" s="21">
        <v>1.4937</v>
      </c>
      <c r="I105" s="77"/>
      <c r="J105" s="76">
        <f t="shared" si="9"/>
        <v>4.2300000000000004E-2</v>
      </c>
      <c r="K105" s="77"/>
      <c r="L105" s="21"/>
      <c r="M105" s="21"/>
      <c r="N105" s="74"/>
      <c r="O105" s="74"/>
      <c r="P105" s="74"/>
      <c r="Q105" s="82"/>
    </row>
    <row r="106" spans="1:17" x14ac:dyDescent="0.35">
      <c r="A106" s="83">
        <v>6</v>
      </c>
      <c r="B106" s="77" t="s">
        <v>400</v>
      </c>
      <c r="C106" s="77">
        <v>60</v>
      </c>
      <c r="D106" s="77" t="s">
        <v>11</v>
      </c>
      <c r="E106" s="78">
        <v>46090</v>
      </c>
      <c r="F106" s="74" t="s">
        <v>247</v>
      </c>
      <c r="G106" s="21">
        <v>1.4628000000000001</v>
      </c>
      <c r="H106" s="21">
        <v>1.5038</v>
      </c>
      <c r="I106" s="77"/>
      <c r="J106" s="76">
        <f t="shared" si="9"/>
        <v>4.0999999999999925E-2</v>
      </c>
      <c r="K106" s="77"/>
      <c r="L106" s="21"/>
      <c r="M106" s="21"/>
      <c r="N106" s="74"/>
      <c r="O106" s="74"/>
      <c r="P106" s="74"/>
      <c r="Q106" s="82"/>
    </row>
    <row r="107" spans="1:17" x14ac:dyDescent="0.35">
      <c r="A107" s="83">
        <v>6</v>
      </c>
      <c r="B107" s="77" t="s">
        <v>400</v>
      </c>
      <c r="C107" s="77">
        <v>60</v>
      </c>
      <c r="D107" s="77" t="s">
        <v>11</v>
      </c>
      <c r="E107" s="78">
        <v>46090</v>
      </c>
      <c r="F107" s="74" t="s">
        <v>248</v>
      </c>
      <c r="G107" s="21">
        <v>1.4621999999999999</v>
      </c>
      <c r="H107" s="21">
        <v>1.5049999999999999</v>
      </c>
      <c r="I107" s="77"/>
      <c r="J107" s="76">
        <f t="shared" si="9"/>
        <v>4.2799999999999949E-2</v>
      </c>
      <c r="K107" s="77"/>
      <c r="L107" s="21"/>
      <c r="M107" s="21"/>
      <c r="N107" s="74"/>
      <c r="O107" s="74"/>
      <c r="P107" s="74"/>
      <c r="Q107" s="82"/>
    </row>
    <row r="108" spans="1:17" x14ac:dyDescent="0.35">
      <c r="A108" s="79">
        <v>9</v>
      </c>
      <c r="B108" s="71" t="s">
        <v>400</v>
      </c>
      <c r="C108" s="71">
        <v>60</v>
      </c>
      <c r="D108" s="71" t="s">
        <v>10</v>
      </c>
      <c r="E108" s="72">
        <v>46111</v>
      </c>
      <c r="F108" s="71" t="s">
        <v>269</v>
      </c>
      <c r="G108" s="73">
        <v>1.4545999999999999</v>
      </c>
      <c r="H108" s="73">
        <v>1.4991000000000001</v>
      </c>
      <c r="I108" s="73">
        <v>1.4658</v>
      </c>
      <c r="J108" s="73">
        <f>H108-G108</f>
        <v>4.4500000000000206E-2</v>
      </c>
      <c r="K108" s="73">
        <f>AVERAGE(J108)</f>
        <v>4.4500000000000206E-2</v>
      </c>
      <c r="L108" s="73">
        <f>SUM(J111)</f>
        <v>8.3499999999999908E-2</v>
      </c>
      <c r="M108" s="73">
        <f>SUM(J112)</f>
        <v>3.9499999999999869E-2</v>
      </c>
      <c r="N108" s="73">
        <f>SUM(I108-G108)</f>
        <v>1.1200000000000099E-2</v>
      </c>
      <c r="O108" s="73">
        <f>AVERAGE(N108:N112)</f>
        <v>1.6459999999999964E-2</v>
      </c>
      <c r="P108" s="73">
        <f>SUM(N109)</f>
        <v>2.6100000000000012E-2</v>
      </c>
      <c r="Q108" s="80">
        <f>SUM(N110)</f>
        <v>6.1999999999999833E-3</v>
      </c>
    </row>
    <row r="109" spans="1:17" x14ac:dyDescent="0.35">
      <c r="A109" s="79">
        <v>9</v>
      </c>
      <c r="B109" s="71" t="s">
        <v>400</v>
      </c>
      <c r="C109" s="71">
        <v>60</v>
      </c>
      <c r="D109" s="71" t="s">
        <v>10</v>
      </c>
      <c r="E109" s="72">
        <v>46111</v>
      </c>
      <c r="F109" s="71" t="s">
        <v>270</v>
      </c>
      <c r="G109" s="73">
        <v>1.4477</v>
      </c>
      <c r="H109" s="73">
        <v>1.4894000000000001</v>
      </c>
      <c r="I109" s="73">
        <v>1.4738</v>
      </c>
      <c r="J109" s="73">
        <f t="shared" ref="J109:J117" si="10">H109-G109</f>
        <v>4.170000000000007E-2</v>
      </c>
      <c r="K109" s="73"/>
      <c r="L109" s="73"/>
      <c r="M109" s="73"/>
      <c r="N109" s="73">
        <f>SUM(I109-G109)</f>
        <v>2.6100000000000012E-2</v>
      </c>
      <c r="O109" s="71"/>
      <c r="P109" s="71"/>
      <c r="Q109" s="81"/>
    </row>
    <row r="110" spans="1:17" x14ac:dyDescent="0.35">
      <c r="A110" s="79">
        <v>9</v>
      </c>
      <c r="B110" s="71" t="s">
        <v>400</v>
      </c>
      <c r="C110" s="71">
        <v>60</v>
      </c>
      <c r="D110" s="71" t="s">
        <v>10</v>
      </c>
      <c r="E110" s="72">
        <v>46111</v>
      </c>
      <c r="F110" s="71" t="s">
        <v>271</v>
      </c>
      <c r="G110" s="73">
        <v>1.4644999999999999</v>
      </c>
      <c r="H110" s="73">
        <v>1.5076000000000001</v>
      </c>
      <c r="I110" s="73">
        <v>1.4706999999999999</v>
      </c>
      <c r="J110" s="73">
        <f t="shared" si="10"/>
        <v>4.3100000000000138E-2</v>
      </c>
      <c r="K110" s="73"/>
      <c r="L110" s="73"/>
      <c r="M110" s="73"/>
      <c r="N110" s="73">
        <f>SUM(I110-G110)</f>
        <v>6.1999999999999833E-3</v>
      </c>
      <c r="O110" s="71"/>
      <c r="P110" s="71"/>
      <c r="Q110" s="81"/>
    </row>
    <row r="111" spans="1:17" x14ac:dyDescent="0.35">
      <c r="A111" s="79">
        <v>9</v>
      </c>
      <c r="B111" s="71" t="s">
        <v>400</v>
      </c>
      <c r="C111" s="71">
        <v>60</v>
      </c>
      <c r="D111" s="71" t="s">
        <v>10</v>
      </c>
      <c r="E111" s="72">
        <v>46111</v>
      </c>
      <c r="F111" s="71" t="s">
        <v>272</v>
      </c>
      <c r="G111" s="73">
        <v>1.4490000000000001</v>
      </c>
      <c r="H111" s="73">
        <v>1.5325</v>
      </c>
      <c r="I111" s="73">
        <v>1.4686999999999999</v>
      </c>
      <c r="J111" s="73">
        <f t="shared" si="10"/>
        <v>8.3499999999999908E-2</v>
      </c>
      <c r="K111" s="73"/>
      <c r="L111" s="73"/>
      <c r="M111" s="73"/>
      <c r="N111" s="73">
        <f>SUM(I111-G111)</f>
        <v>1.9699999999999829E-2</v>
      </c>
      <c r="O111" s="71"/>
      <c r="P111" s="71"/>
      <c r="Q111" s="81"/>
    </row>
    <row r="112" spans="1:17" x14ac:dyDescent="0.35">
      <c r="A112" s="79">
        <v>9</v>
      </c>
      <c r="B112" s="71" t="s">
        <v>400</v>
      </c>
      <c r="C112" s="71">
        <v>60</v>
      </c>
      <c r="D112" s="71" t="s">
        <v>10</v>
      </c>
      <c r="E112" s="72">
        <v>46111</v>
      </c>
      <c r="F112" s="71" t="s">
        <v>273</v>
      </c>
      <c r="G112" s="73">
        <v>1.4492</v>
      </c>
      <c r="H112" s="73">
        <v>1.4886999999999999</v>
      </c>
      <c r="I112" s="73">
        <v>1.4682999999999999</v>
      </c>
      <c r="J112" s="73">
        <f t="shared" si="10"/>
        <v>3.9499999999999869E-2</v>
      </c>
      <c r="K112" s="73"/>
      <c r="L112" s="73"/>
      <c r="M112" s="73"/>
      <c r="N112" s="73">
        <f>SUM(I112-G112)</f>
        <v>1.9099999999999895E-2</v>
      </c>
      <c r="O112" s="71"/>
      <c r="P112" s="71"/>
      <c r="Q112" s="81"/>
    </row>
    <row r="113" spans="1:17" x14ac:dyDescent="0.35">
      <c r="A113" s="83">
        <v>9</v>
      </c>
      <c r="B113" s="77" t="s">
        <v>400</v>
      </c>
      <c r="C113" s="77">
        <v>60</v>
      </c>
      <c r="D113" s="74" t="s">
        <v>11</v>
      </c>
      <c r="E113" s="75">
        <v>46111</v>
      </c>
      <c r="F113" s="74" t="s">
        <v>274</v>
      </c>
      <c r="G113" s="21">
        <v>1.4574</v>
      </c>
      <c r="H113" s="21">
        <v>1.5095000000000001</v>
      </c>
      <c r="I113" s="74"/>
      <c r="J113" s="21">
        <f t="shared" si="10"/>
        <v>5.2100000000000035E-2</v>
      </c>
      <c r="K113" s="21">
        <f>AVERAGE(J113:J117)</f>
        <v>5.4819999999999959E-2</v>
      </c>
      <c r="L113" s="21">
        <f>SUM(J115)</f>
        <v>6.8500000000000005E-2</v>
      </c>
      <c r="M113" s="21">
        <f>SUM(J114)</f>
        <v>4.709999999999992E-2</v>
      </c>
      <c r="N113" s="74"/>
      <c r="O113" s="74"/>
      <c r="P113" s="74"/>
      <c r="Q113" s="82"/>
    </row>
    <row r="114" spans="1:17" x14ac:dyDescent="0.35">
      <c r="A114" s="83">
        <v>9</v>
      </c>
      <c r="B114" s="77" t="s">
        <v>400</v>
      </c>
      <c r="C114" s="77">
        <v>60</v>
      </c>
      <c r="D114" s="74" t="s">
        <v>11</v>
      </c>
      <c r="E114" s="75">
        <v>46111</v>
      </c>
      <c r="F114" s="74" t="s">
        <v>275</v>
      </c>
      <c r="G114" s="21">
        <v>1.4611000000000001</v>
      </c>
      <c r="H114" s="21">
        <v>1.5082</v>
      </c>
      <c r="I114" s="74"/>
      <c r="J114" s="21">
        <f t="shared" si="10"/>
        <v>4.709999999999992E-2</v>
      </c>
      <c r="K114" s="74"/>
      <c r="L114" s="21"/>
      <c r="M114" s="21"/>
      <c r="N114" s="74"/>
      <c r="O114" s="74"/>
      <c r="P114" s="74"/>
      <c r="Q114" s="82"/>
    </row>
    <row r="115" spans="1:17" x14ac:dyDescent="0.35">
      <c r="A115" s="83">
        <v>9</v>
      </c>
      <c r="B115" s="77" t="s">
        <v>400</v>
      </c>
      <c r="C115" s="77">
        <v>60</v>
      </c>
      <c r="D115" s="74" t="s">
        <v>11</v>
      </c>
      <c r="E115" s="75">
        <v>46111</v>
      </c>
      <c r="F115" s="74" t="s">
        <v>276</v>
      </c>
      <c r="G115" s="21">
        <v>1.4509000000000001</v>
      </c>
      <c r="H115" s="21">
        <v>1.5194000000000001</v>
      </c>
      <c r="I115" s="74"/>
      <c r="J115" s="21">
        <f t="shared" si="10"/>
        <v>6.8500000000000005E-2</v>
      </c>
      <c r="K115" s="74"/>
      <c r="L115" s="21"/>
      <c r="M115" s="21"/>
      <c r="N115" s="74"/>
      <c r="O115" s="74"/>
      <c r="P115" s="74"/>
      <c r="Q115" s="82"/>
    </row>
    <row r="116" spans="1:17" x14ac:dyDescent="0.35">
      <c r="A116" s="83">
        <v>9</v>
      </c>
      <c r="B116" s="77" t="s">
        <v>400</v>
      </c>
      <c r="C116" s="77">
        <v>60</v>
      </c>
      <c r="D116" s="74" t="s">
        <v>11</v>
      </c>
      <c r="E116" s="75">
        <v>46111</v>
      </c>
      <c r="F116" s="74" t="s">
        <v>277</v>
      </c>
      <c r="G116" s="21">
        <v>1.4607000000000001</v>
      </c>
      <c r="H116" s="21">
        <v>1.5176000000000001</v>
      </c>
      <c r="I116" s="74"/>
      <c r="J116" s="21">
        <f t="shared" si="10"/>
        <v>5.6899999999999951E-2</v>
      </c>
      <c r="K116" s="74"/>
      <c r="L116" s="21"/>
      <c r="M116" s="21"/>
      <c r="N116" s="74"/>
      <c r="O116" s="74"/>
      <c r="P116" s="74"/>
      <c r="Q116" s="82"/>
    </row>
    <row r="117" spans="1:17" x14ac:dyDescent="0.35">
      <c r="A117" s="83">
        <v>9</v>
      </c>
      <c r="B117" s="77" t="s">
        <v>400</v>
      </c>
      <c r="C117" s="77">
        <v>60</v>
      </c>
      <c r="D117" s="74" t="s">
        <v>11</v>
      </c>
      <c r="E117" s="75">
        <v>46111</v>
      </c>
      <c r="F117" s="74" t="s">
        <v>278</v>
      </c>
      <c r="G117" s="21">
        <v>1.4648000000000001</v>
      </c>
      <c r="H117" s="21">
        <v>1.5143</v>
      </c>
      <c r="I117" s="74"/>
      <c r="J117" s="21">
        <f t="shared" si="10"/>
        <v>4.9499999999999877E-2</v>
      </c>
      <c r="K117" s="74"/>
      <c r="L117" s="21"/>
      <c r="M117" s="21"/>
      <c r="N117" s="74"/>
      <c r="O117" s="74"/>
      <c r="P117" s="74"/>
      <c r="Q117" s="82"/>
    </row>
    <row r="118" spans="1:17" x14ac:dyDescent="0.35">
      <c r="A118" s="79">
        <v>12</v>
      </c>
      <c r="B118" s="71" t="s">
        <v>400</v>
      </c>
      <c r="C118" s="71">
        <v>60</v>
      </c>
      <c r="D118" s="71" t="s">
        <v>10</v>
      </c>
      <c r="E118" s="72">
        <v>46133</v>
      </c>
      <c r="F118" s="71" t="s">
        <v>422</v>
      </c>
      <c r="G118" s="73">
        <v>1.4522999999999999</v>
      </c>
      <c r="H118" s="73">
        <v>1.4982</v>
      </c>
      <c r="I118" s="73">
        <v>1.4653</v>
      </c>
      <c r="J118" s="73">
        <f>SUM(H118-G118)</f>
        <v>4.5900000000000052E-2</v>
      </c>
      <c r="K118" s="73">
        <f>AVERAGE(J118:J122)</f>
        <v>5.0599999999999978E-2</v>
      </c>
      <c r="L118" s="73">
        <f>SUM(J119)</f>
        <v>5.7199999999999918E-2</v>
      </c>
      <c r="M118" s="73">
        <f>SUM(J122)</f>
        <v>4.5099999999999918E-2</v>
      </c>
      <c r="N118" s="73">
        <f>SUM(I118-G118)</f>
        <v>1.3000000000000123E-2</v>
      </c>
      <c r="O118" s="73">
        <f>AVERAGE(N118:N122)</f>
        <v>1.2699999999999979E-2</v>
      </c>
      <c r="P118" s="73">
        <f>SUM(N119)</f>
        <v>1.3900000000000023E-2</v>
      </c>
      <c r="Q118" s="80">
        <f>SUM(N120)</f>
        <v>1.0999999999999899E-2</v>
      </c>
    </row>
    <row r="119" spans="1:17" x14ac:dyDescent="0.35">
      <c r="A119" s="79">
        <v>12</v>
      </c>
      <c r="B119" s="71" t="s">
        <v>400</v>
      </c>
      <c r="C119" s="71">
        <v>60</v>
      </c>
      <c r="D119" s="71" t="s">
        <v>10</v>
      </c>
      <c r="E119" s="72">
        <v>46133</v>
      </c>
      <c r="F119" s="71" t="s">
        <v>423</v>
      </c>
      <c r="G119" s="73">
        <v>1.4637</v>
      </c>
      <c r="H119" s="73">
        <v>1.5208999999999999</v>
      </c>
      <c r="I119" s="73">
        <v>1.4776</v>
      </c>
      <c r="J119" s="73">
        <f t="shared" ref="J119:J127" si="11">SUM(H119-G119)</f>
        <v>5.7199999999999918E-2</v>
      </c>
      <c r="K119" s="71"/>
      <c r="L119" s="71"/>
      <c r="M119" s="71"/>
      <c r="N119" s="73">
        <f>SUM(I119-G119)</f>
        <v>1.3900000000000023E-2</v>
      </c>
      <c r="O119" s="71"/>
      <c r="P119" s="71"/>
      <c r="Q119" s="81"/>
    </row>
    <row r="120" spans="1:17" x14ac:dyDescent="0.35">
      <c r="A120" s="79">
        <v>12</v>
      </c>
      <c r="B120" s="71" t="s">
        <v>400</v>
      </c>
      <c r="C120" s="71">
        <v>60</v>
      </c>
      <c r="D120" s="71" t="s">
        <v>10</v>
      </c>
      <c r="E120" s="72">
        <v>46133</v>
      </c>
      <c r="F120" s="71" t="s">
        <v>424</v>
      </c>
      <c r="G120" s="73">
        <v>1.4671000000000001</v>
      </c>
      <c r="H120" s="73">
        <v>1.5174000000000001</v>
      </c>
      <c r="I120" s="73">
        <v>1.4781</v>
      </c>
      <c r="J120" s="73">
        <f t="shared" si="11"/>
        <v>5.0300000000000011E-2</v>
      </c>
      <c r="K120" s="71"/>
      <c r="L120" s="71"/>
      <c r="M120" s="71"/>
      <c r="N120" s="73">
        <f>SUM(I120-G120)</f>
        <v>1.0999999999999899E-2</v>
      </c>
      <c r="O120" s="71"/>
      <c r="P120" s="71"/>
      <c r="Q120" s="81"/>
    </row>
    <row r="121" spans="1:17" x14ac:dyDescent="0.35">
      <c r="A121" s="79">
        <v>12</v>
      </c>
      <c r="B121" s="71" t="s">
        <v>400</v>
      </c>
      <c r="C121" s="71">
        <v>60</v>
      </c>
      <c r="D121" s="71" t="s">
        <v>10</v>
      </c>
      <c r="E121" s="72">
        <v>46133</v>
      </c>
      <c r="F121" s="71" t="s">
        <v>425</v>
      </c>
      <c r="G121" s="73">
        <v>1.4459</v>
      </c>
      <c r="H121" s="73">
        <v>1.5004</v>
      </c>
      <c r="I121" s="73">
        <v>1.4579</v>
      </c>
      <c r="J121" s="73">
        <f t="shared" si="11"/>
        <v>5.4499999999999993E-2</v>
      </c>
      <c r="K121" s="71"/>
      <c r="L121" s="71"/>
      <c r="M121" s="71"/>
      <c r="N121" s="73">
        <f>SUM(I121-G121)</f>
        <v>1.2000000000000011E-2</v>
      </c>
      <c r="O121" s="71"/>
      <c r="P121" s="71"/>
      <c r="Q121" s="81"/>
    </row>
    <row r="122" spans="1:17" x14ac:dyDescent="0.35">
      <c r="A122" s="79">
        <v>12</v>
      </c>
      <c r="B122" s="71" t="s">
        <v>400</v>
      </c>
      <c r="C122" s="71">
        <v>60</v>
      </c>
      <c r="D122" s="71" t="s">
        <v>10</v>
      </c>
      <c r="E122" s="72">
        <v>46133</v>
      </c>
      <c r="F122" s="71" t="s">
        <v>426</v>
      </c>
      <c r="G122" s="73">
        <v>1.4531000000000001</v>
      </c>
      <c r="H122" s="73">
        <v>1.4982</v>
      </c>
      <c r="I122" s="73">
        <v>1.4666999999999999</v>
      </c>
      <c r="J122" s="73">
        <f t="shared" si="11"/>
        <v>4.5099999999999918E-2</v>
      </c>
      <c r="K122" s="71"/>
      <c r="L122" s="71"/>
      <c r="M122" s="71"/>
      <c r="N122" s="73">
        <f>SUM(I122-G122)</f>
        <v>1.3599999999999834E-2</v>
      </c>
      <c r="O122" s="71"/>
      <c r="P122" s="71"/>
      <c r="Q122" s="81"/>
    </row>
    <row r="123" spans="1:17" x14ac:dyDescent="0.35">
      <c r="A123" s="83">
        <v>12</v>
      </c>
      <c r="B123" s="77" t="s">
        <v>400</v>
      </c>
      <c r="C123" s="77">
        <v>60</v>
      </c>
      <c r="D123" s="74" t="s">
        <v>11</v>
      </c>
      <c r="E123" s="75">
        <v>46133</v>
      </c>
      <c r="F123" s="74" t="s">
        <v>427</v>
      </c>
      <c r="G123" s="21">
        <v>1.4583999999999999</v>
      </c>
      <c r="H123" s="21">
        <v>1.5044</v>
      </c>
      <c r="I123" s="74"/>
      <c r="J123" s="21">
        <f t="shared" si="11"/>
        <v>4.6000000000000041E-2</v>
      </c>
      <c r="K123" s="21">
        <f>AVERAGE(J123:J127)</f>
        <v>5.1000000000000066E-2</v>
      </c>
      <c r="L123" s="21">
        <f>SUM(J127)</f>
        <v>5.6400000000000006E-2</v>
      </c>
      <c r="M123" s="21">
        <f>SUM(J123)</f>
        <v>4.6000000000000041E-2</v>
      </c>
      <c r="N123" s="74"/>
      <c r="O123" s="74"/>
      <c r="P123" s="74"/>
      <c r="Q123" s="82"/>
    </row>
    <row r="124" spans="1:17" x14ac:dyDescent="0.35">
      <c r="A124" s="83">
        <v>12</v>
      </c>
      <c r="B124" s="77" t="s">
        <v>400</v>
      </c>
      <c r="C124" s="77">
        <v>60</v>
      </c>
      <c r="D124" s="74" t="s">
        <v>11</v>
      </c>
      <c r="E124" s="75">
        <v>46133</v>
      </c>
      <c r="F124" s="74" t="s">
        <v>428</v>
      </c>
      <c r="G124" s="21">
        <v>1.45</v>
      </c>
      <c r="H124" s="21">
        <v>1.504</v>
      </c>
      <c r="I124" s="74"/>
      <c r="J124" s="21">
        <f t="shared" si="11"/>
        <v>5.4000000000000048E-2</v>
      </c>
      <c r="K124" s="74"/>
      <c r="L124" s="74"/>
      <c r="M124" s="74"/>
      <c r="N124" s="74"/>
      <c r="O124" s="74"/>
      <c r="P124" s="74"/>
      <c r="Q124" s="82"/>
    </row>
    <row r="125" spans="1:17" x14ac:dyDescent="0.35">
      <c r="A125" s="83">
        <v>12</v>
      </c>
      <c r="B125" s="77" t="s">
        <v>400</v>
      </c>
      <c r="C125" s="77">
        <v>60</v>
      </c>
      <c r="D125" s="74" t="s">
        <v>11</v>
      </c>
      <c r="E125" s="75">
        <v>46133</v>
      </c>
      <c r="F125" s="74" t="s">
        <v>429</v>
      </c>
      <c r="G125" s="21">
        <v>1.46</v>
      </c>
      <c r="H125" s="21">
        <v>1.5072000000000001</v>
      </c>
      <c r="I125" s="74"/>
      <c r="J125" s="21">
        <f t="shared" si="11"/>
        <v>4.7200000000000131E-2</v>
      </c>
      <c r="K125" s="74"/>
      <c r="L125" s="74"/>
      <c r="M125" s="74"/>
      <c r="N125" s="74"/>
      <c r="O125" s="74"/>
      <c r="P125" s="74"/>
      <c r="Q125" s="82"/>
    </row>
    <row r="126" spans="1:17" x14ac:dyDescent="0.35">
      <c r="A126" s="83">
        <v>12</v>
      </c>
      <c r="B126" s="77" t="s">
        <v>400</v>
      </c>
      <c r="C126" s="77">
        <v>60</v>
      </c>
      <c r="D126" s="74" t="s">
        <v>11</v>
      </c>
      <c r="E126" s="75">
        <v>46133</v>
      </c>
      <c r="F126" s="74" t="s">
        <v>430</v>
      </c>
      <c r="G126" s="21">
        <v>1.4561999999999999</v>
      </c>
      <c r="H126" s="21">
        <v>1.5076000000000001</v>
      </c>
      <c r="I126" s="74"/>
      <c r="J126" s="21">
        <f t="shared" si="11"/>
        <v>5.1400000000000112E-2</v>
      </c>
      <c r="K126" s="74"/>
      <c r="L126" s="74"/>
      <c r="M126" s="74"/>
      <c r="N126" s="74"/>
      <c r="O126" s="74"/>
      <c r="P126" s="74"/>
      <c r="Q126" s="82"/>
    </row>
    <row r="127" spans="1:17" ht="15" thickBot="1" x14ac:dyDescent="0.4">
      <c r="A127" s="87">
        <v>12</v>
      </c>
      <c r="B127" s="106" t="s">
        <v>400</v>
      </c>
      <c r="C127" s="106">
        <v>60</v>
      </c>
      <c r="D127" s="84" t="s">
        <v>11</v>
      </c>
      <c r="E127" s="85">
        <v>46133</v>
      </c>
      <c r="F127" s="84" t="s">
        <v>431</v>
      </c>
      <c r="G127" s="23">
        <v>1.4533</v>
      </c>
      <c r="H127" s="23">
        <v>1.5097</v>
      </c>
      <c r="I127" s="84"/>
      <c r="J127" s="23">
        <f t="shared" si="11"/>
        <v>5.6400000000000006E-2</v>
      </c>
      <c r="K127" s="84"/>
      <c r="L127" s="84"/>
      <c r="M127" s="84"/>
      <c r="N127" s="84"/>
      <c r="O127" s="84"/>
      <c r="P127" s="84"/>
      <c r="Q127" s="86"/>
    </row>
  </sheetData>
  <mergeCells count="3">
    <mergeCell ref="A5:Q5"/>
    <mergeCell ref="A46:Q46"/>
    <mergeCell ref="A87:Q87"/>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00797-2B1E-48BD-936D-7FD15F89966E}">
  <dimension ref="A1:M90"/>
  <sheetViews>
    <sheetView zoomScale="70" zoomScaleNormal="70" workbookViewId="0">
      <selection activeCell="M8" sqref="M8"/>
    </sheetView>
  </sheetViews>
  <sheetFormatPr baseColWidth="10" defaultRowHeight="14.5" x14ac:dyDescent="0.35"/>
  <cols>
    <col min="1" max="1" width="7.36328125" customWidth="1"/>
    <col min="2" max="2" width="11.36328125" customWidth="1"/>
    <col min="3" max="4" width="11.6328125" customWidth="1"/>
    <col min="5" max="5" width="11.81640625" customWidth="1"/>
    <col min="6" max="6" width="11.54296875" customWidth="1"/>
    <col min="7" max="7" width="12.54296875" customWidth="1"/>
    <col min="8" max="8" width="11.54296875" customWidth="1"/>
    <col min="9" max="9" width="11.90625" customWidth="1"/>
    <col min="10" max="10" width="11.6328125" customWidth="1"/>
    <col min="11" max="11" width="11.81640625" customWidth="1"/>
    <col min="12" max="12" width="11.453125" customWidth="1"/>
    <col min="13" max="13" width="11.7265625" customWidth="1"/>
  </cols>
  <sheetData>
    <row r="1" spans="1:13" ht="28.5" x14ac:dyDescent="0.65">
      <c r="A1" s="116" t="s">
        <v>561</v>
      </c>
    </row>
    <row r="2" spans="1:13" ht="16" customHeight="1" x14ac:dyDescent="0.6">
      <c r="A2" s="121"/>
    </row>
    <row r="3" spans="1:13" ht="14.5" customHeight="1" x14ac:dyDescent="0.35">
      <c r="A3" s="182" t="s">
        <v>509</v>
      </c>
      <c r="B3" s="182"/>
      <c r="C3" s="182"/>
      <c r="D3" s="182"/>
      <c r="E3" s="182"/>
      <c r="F3" s="182"/>
      <c r="G3" s="182"/>
      <c r="H3" s="182"/>
      <c r="I3" s="182"/>
    </row>
    <row r="4" spans="1:13" ht="16" customHeight="1" x14ac:dyDescent="0.35">
      <c r="A4" s="182"/>
      <c r="B4" s="182"/>
      <c r="C4" s="182"/>
      <c r="D4" s="182"/>
      <c r="E4" s="182"/>
      <c r="F4" s="182"/>
      <c r="G4" s="182"/>
      <c r="H4" s="182"/>
      <c r="I4" s="182"/>
    </row>
    <row r="5" spans="1:13" x14ac:dyDescent="0.35">
      <c r="A5" s="129"/>
      <c r="B5" s="129"/>
      <c r="C5" s="129"/>
      <c r="D5" s="129"/>
      <c r="E5" s="129"/>
      <c r="F5" s="129"/>
      <c r="G5" s="129"/>
      <c r="H5" s="129"/>
    </row>
    <row r="6" spans="1:13" x14ac:dyDescent="0.35">
      <c r="A6" s="129"/>
      <c r="B6" s="129"/>
      <c r="C6" s="129"/>
      <c r="D6" s="129"/>
      <c r="E6" s="129"/>
      <c r="F6" s="129"/>
      <c r="G6" s="129"/>
      <c r="H6" s="129"/>
    </row>
    <row r="7" spans="1:13" ht="23.5" x14ac:dyDescent="0.55000000000000004">
      <c r="A7" s="127" t="s">
        <v>497</v>
      </c>
    </row>
    <row r="9" spans="1:13" ht="18.5" x14ac:dyDescent="0.45">
      <c r="A9" s="109" t="s">
        <v>500</v>
      </c>
    </row>
    <row r="10" spans="1:13" ht="18.5" x14ac:dyDescent="0.45">
      <c r="A10" s="128"/>
    </row>
    <row r="11" spans="1:13" ht="18.5" x14ac:dyDescent="0.45">
      <c r="B11" s="175" t="s">
        <v>485</v>
      </c>
      <c r="C11" s="175"/>
      <c r="D11" s="175" t="s">
        <v>486</v>
      </c>
      <c r="E11" s="175"/>
      <c r="F11" s="175" t="s">
        <v>487</v>
      </c>
      <c r="G11" s="175"/>
      <c r="K11" s="123"/>
      <c r="L11" s="123"/>
      <c r="M11" s="123"/>
    </row>
    <row r="12" spans="1:13" ht="18.5" x14ac:dyDescent="0.45">
      <c r="A12" s="133" t="s">
        <v>432</v>
      </c>
      <c r="B12" s="133" t="s">
        <v>10</v>
      </c>
      <c r="C12" s="133" t="s">
        <v>11</v>
      </c>
      <c r="D12" s="133" t="s">
        <v>10</v>
      </c>
      <c r="E12" s="133" t="s">
        <v>11</v>
      </c>
      <c r="F12" s="133" t="s">
        <v>10</v>
      </c>
      <c r="G12" s="133" t="s">
        <v>11</v>
      </c>
      <c r="J12" s="123"/>
      <c r="K12" s="123"/>
      <c r="L12" s="123"/>
      <c r="M12" s="123"/>
    </row>
    <row r="13" spans="1:13" x14ac:dyDescent="0.35">
      <c r="A13" s="114">
        <v>3</v>
      </c>
      <c r="B13" s="21">
        <f>SUM('PETG - Resultatberegninger'!K6)</f>
        <v>2.4059999999999925E-2</v>
      </c>
      <c r="C13" s="74">
        <f>SUM('PETG - Resultatberegninger'!K11)</f>
        <v>2.2800000000000022E-2</v>
      </c>
      <c r="D13" s="74">
        <f>SUM('PETG - Resultatberegninger'!K47)</f>
        <v>2.9299999999999972E-2</v>
      </c>
      <c r="E13" s="21">
        <f>SUM('PETG - Resultatberegninger'!K52)</f>
        <v>2.9999999999999982E-2</v>
      </c>
      <c r="F13" s="21">
        <f>SUM('PETG - Resultatberegninger'!K88)</f>
        <v>3.8019999999999984E-2</v>
      </c>
      <c r="G13" s="21">
        <f>SUM('PETG - Resultatberegninger'!K93)</f>
        <v>4.3640000000000033E-2</v>
      </c>
      <c r="J13" s="124"/>
      <c r="K13" s="30"/>
      <c r="L13" s="30"/>
      <c r="M13" s="30"/>
    </row>
    <row r="14" spans="1:13" x14ac:dyDescent="0.35">
      <c r="A14" s="114">
        <v>6</v>
      </c>
      <c r="B14" s="21">
        <f>SUM('PETG - Resultatberegninger'!K16)</f>
        <v>2.5039999999999996E-2</v>
      </c>
      <c r="C14" s="21">
        <f>SUM('PETG - Resultatberegninger'!K21)</f>
        <v>2.1660000000000013E-2</v>
      </c>
      <c r="D14" s="21">
        <f>SUM('PETG - Resultatberegninger'!K57)</f>
        <v>3.1380000000000054E-2</v>
      </c>
      <c r="E14" s="21">
        <f>SUM('PETG - Resultatberegninger'!K62)</f>
        <v>3.0180000000000051E-2</v>
      </c>
      <c r="F14" s="74">
        <f>SUM('PETG - Resultatberegninger'!K98)</f>
        <v>4.2900000000000028E-2</v>
      </c>
      <c r="G14" s="21">
        <f>SUM('PETG - Resultatberegninger'!K103)</f>
        <v>4.263999999999997E-2</v>
      </c>
      <c r="J14" s="124"/>
      <c r="K14" s="30"/>
      <c r="L14" s="30"/>
      <c r="M14" s="30"/>
    </row>
    <row r="15" spans="1:13" x14ac:dyDescent="0.35">
      <c r="A15" s="114">
        <v>9</v>
      </c>
      <c r="B15" s="21">
        <f>SUM('PETG - Resultatberegninger'!K26)</f>
        <v>2.6399999999999979E-2</v>
      </c>
      <c r="C15" s="74">
        <f>SUM('PETG - Resultatberegninger'!K31)</f>
        <v>3.3379999999999965E-2</v>
      </c>
      <c r="D15" s="21">
        <f>SUM('PETG - Resultatberegninger'!K67)</f>
        <v>5.6719999999999923E-2</v>
      </c>
      <c r="E15" s="21">
        <f>SUM('PETG - Resultatberegninger'!K72)</f>
        <v>4.3880000000000009E-2</v>
      </c>
      <c r="F15" s="74">
        <f>SUM('PETG - Resultatberegninger'!K108)</f>
        <v>4.4500000000000206E-2</v>
      </c>
      <c r="G15" s="21">
        <f>SUM('PETG - Resultatberegninger'!K113)</f>
        <v>5.4819999999999959E-2</v>
      </c>
      <c r="J15" s="124"/>
      <c r="K15" s="30"/>
      <c r="L15" s="30"/>
      <c r="M15" s="30"/>
    </row>
    <row r="16" spans="1:13" x14ac:dyDescent="0.35">
      <c r="A16" s="114">
        <v>12</v>
      </c>
      <c r="B16" s="21">
        <f>SUM('PETG - Resultatberegninger'!K36)</f>
        <v>3.6979999999999971E-2</v>
      </c>
      <c r="C16" s="74">
        <f>SUM('PETG - Resultatberegninger'!K41)</f>
        <v>3.9219999999999991E-2</v>
      </c>
      <c r="D16" s="21">
        <f>SUM('PETG - Resultatberegninger'!K77)</f>
        <v>4.7319999999999987E-2</v>
      </c>
      <c r="E16" s="74">
        <f>SUM('PETG - Resultatberegninger'!K82)</f>
        <v>4.719999999999995E-2</v>
      </c>
      <c r="F16" s="74">
        <f>SUM('PETG - Resultatberegninger'!K118)</f>
        <v>5.0599999999999978E-2</v>
      </c>
      <c r="G16" s="21">
        <f>SUM('PETG - Resultatberegninger'!K123)</f>
        <v>5.1000000000000066E-2</v>
      </c>
      <c r="J16" s="124"/>
      <c r="K16" s="30"/>
      <c r="L16" s="30"/>
      <c r="M16" s="30"/>
    </row>
    <row r="18" spans="1:13" x14ac:dyDescent="0.35">
      <c r="A18" t="s">
        <v>498</v>
      </c>
    </row>
    <row r="21" spans="1:13" ht="18.5" x14ac:dyDescent="0.45">
      <c r="A21" s="109" t="s">
        <v>499</v>
      </c>
    </row>
    <row r="23" spans="1:13" ht="18.5" x14ac:dyDescent="0.45">
      <c r="B23" s="180" t="s">
        <v>485</v>
      </c>
      <c r="C23" s="178"/>
      <c r="D23" s="178"/>
      <c r="E23" s="179"/>
      <c r="F23" s="180" t="s">
        <v>486</v>
      </c>
      <c r="G23" s="178"/>
      <c r="H23" s="178"/>
      <c r="I23" s="179"/>
      <c r="J23" s="180" t="s">
        <v>487</v>
      </c>
      <c r="K23" s="178"/>
      <c r="L23" s="178"/>
      <c r="M23" s="179"/>
    </row>
    <row r="24" spans="1:13" ht="18.5" x14ac:dyDescent="0.45">
      <c r="B24" s="176" t="s">
        <v>10</v>
      </c>
      <c r="C24" s="177"/>
      <c r="D24" s="176" t="s">
        <v>11</v>
      </c>
      <c r="E24" s="177"/>
      <c r="F24" s="176" t="s">
        <v>10</v>
      </c>
      <c r="G24" s="177"/>
      <c r="H24" s="176" t="s">
        <v>11</v>
      </c>
      <c r="I24" s="177"/>
      <c r="J24" s="176" t="s">
        <v>10</v>
      </c>
      <c r="K24" s="177"/>
      <c r="L24" s="176" t="s">
        <v>11</v>
      </c>
      <c r="M24" s="177"/>
    </row>
    <row r="25" spans="1:13" ht="18.5" x14ac:dyDescent="0.45">
      <c r="A25" s="133" t="s">
        <v>432</v>
      </c>
      <c r="B25" s="133" t="s">
        <v>488</v>
      </c>
      <c r="C25" s="133" t="s">
        <v>434</v>
      </c>
      <c r="D25" s="133" t="s">
        <v>488</v>
      </c>
      <c r="E25" s="133" t="s">
        <v>434</v>
      </c>
      <c r="F25" s="133" t="s">
        <v>488</v>
      </c>
      <c r="G25" s="133" t="s">
        <v>434</v>
      </c>
      <c r="H25" s="133" t="s">
        <v>488</v>
      </c>
      <c r="I25" s="133" t="s">
        <v>434</v>
      </c>
      <c r="J25" s="133" t="s">
        <v>488</v>
      </c>
      <c r="K25" s="133" t="s">
        <v>434</v>
      </c>
      <c r="L25" s="133" t="s">
        <v>488</v>
      </c>
      <c r="M25" s="133" t="s">
        <v>434</v>
      </c>
    </row>
    <row r="26" spans="1:13" x14ac:dyDescent="0.35">
      <c r="A26" s="114">
        <v>3</v>
      </c>
      <c r="B26" s="21">
        <v>3.2099999999999795E-2</v>
      </c>
      <c r="C26" s="21">
        <v>1.8899999999999917E-2</v>
      </c>
      <c r="D26" s="21">
        <v>2.5600000000000067E-2</v>
      </c>
      <c r="E26" s="21">
        <v>2.0199999999999996E-2</v>
      </c>
      <c r="F26" s="21">
        <v>3.0200000000000005E-2</v>
      </c>
      <c r="G26" s="21">
        <v>2.849999999999997E-2</v>
      </c>
      <c r="H26" s="21">
        <v>3.2999999999999918E-2</v>
      </c>
      <c r="I26" s="74">
        <v>2.6900000000000146E-2</v>
      </c>
      <c r="J26" s="21">
        <v>3.9400000000000102E-2</v>
      </c>
      <c r="K26" s="21">
        <v>3.4799999999999998E-2</v>
      </c>
      <c r="L26" s="21">
        <v>4.9500000000000099E-2</v>
      </c>
      <c r="M26" s="21">
        <v>3.960000000000008E-2</v>
      </c>
    </row>
    <row r="27" spans="1:13" x14ac:dyDescent="0.35">
      <c r="A27" s="114">
        <v>6</v>
      </c>
      <c r="B27" s="74">
        <v>2.8699999999999948E-2</v>
      </c>
      <c r="C27" s="74">
        <v>2.2100000000000009E-2</v>
      </c>
      <c r="D27" s="74">
        <v>2.4199999999999999E-2</v>
      </c>
      <c r="E27" s="74">
        <v>2.0100000000000007E-2</v>
      </c>
      <c r="F27" s="21">
        <v>3.499999999999992E-2</v>
      </c>
      <c r="G27" s="74">
        <v>2.5900000000000034E-2</v>
      </c>
      <c r="H27" s="74">
        <v>3.2399999999999984E-2</v>
      </c>
      <c r="I27" s="74">
        <v>2.5100000000000122E-2</v>
      </c>
      <c r="J27" s="74">
        <v>4.7199999999999909E-2</v>
      </c>
      <c r="K27" s="74">
        <v>3.7700000000000067E-2</v>
      </c>
      <c r="L27" s="74">
        <v>4.4599999999999973E-2</v>
      </c>
      <c r="M27" s="21">
        <v>4.0999999999999925E-2</v>
      </c>
    </row>
    <row r="28" spans="1:13" x14ac:dyDescent="0.35">
      <c r="A28" s="114">
        <v>9</v>
      </c>
      <c r="B28">
        <v>5.5300000000000127E-2</v>
      </c>
      <c r="C28" s="74">
        <v>2.6399999999999979E-2</v>
      </c>
      <c r="D28" s="21">
        <v>5.0999999999999934E-2</v>
      </c>
      <c r="E28" s="74">
        <v>2.5800000000000045E-2</v>
      </c>
      <c r="F28" s="74">
        <v>9.9199999999999955E-2</v>
      </c>
      <c r="G28" s="74">
        <v>2.6699999999999946E-2</v>
      </c>
      <c r="H28" s="74">
        <v>8.0399999999999805E-2</v>
      </c>
      <c r="I28" s="74">
        <v>3.2200000000000006E-2</v>
      </c>
      <c r="J28" s="74">
        <v>8.3499999999999908E-2</v>
      </c>
      <c r="K28" s="74">
        <v>3.9499999999999869E-2</v>
      </c>
      <c r="L28" s="74">
        <v>6.8500000000000005E-2</v>
      </c>
      <c r="M28" s="74">
        <v>4.709999999999992E-2</v>
      </c>
    </row>
    <row r="29" spans="1:13" x14ac:dyDescent="0.35">
      <c r="A29" s="114">
        <v>12</v>
      </c>
      <c r="B29" s="74">
        <v>4.3499999999999872E-2</v>
      </c>
      <c r="C29" s="74">
        <v>2.8799999999999937E-2</v>
      </c>
      <c r="D29" s="21">
        <v>4.4000000000000039E-2</v>
      </c>
      <c r="E29" s="74">
        <v>3.4900000000000153E-2</v>
      </c>
      <c r="F29" s="74">
        <v>4.9100000000000144E-2</v>
      </c>
      <c r="G29" s="74">
        <v>4.5599999999999863E-2</v>
      </c>
      <c r="H29" s="21">
        <v>6.1999999999999833E-2</v>
      </c>
      <c r="I29" s="74">
        <v>3.5699999999999843E-2</v>
      </c>
      <c r="J29" s="74">
        <v>5.7199999999999918E-2</v>
      </c>
      <c r="K29" s="74">
        <v>4.5099999999999918E-2</v>
      </c>
      <c r="L29" s="74">
        <v>5.6400000000000006E-2</v>
      </c>
      <c r="M29" s="21">
        <v>4.6000000000000041E-2</v>
      </c>
    </row>
    <row r="31" spans="1:13" x14ac:dyDescent="0.35">
      <c r="A31" s="174" t="s">
        <v>501</v>
      </c>
      <c r="B31" s="174"/>
      <c r="C31" s="174"/>
      <c r="D31" s="174"/>
      <c r="E31" s="174"/>
      <c r="F31" s="174"/>
      <c r="G31" s="174"/>
      <c r="H31" s="174"/>
      <c r="I31" s="174"/>
      <c r="J31" s="174"/>
      <c r="K31" s="174"/>
      <c r="L31" s="174"/>
      <c r="M31" s="174"/>
    </row>
    <row r="32" spans="1:13" x14ac:dyDescent="0.35">
      <c r="A32" s="174"/>
      <c r="B32" s="174"/>
      <c r="C32" s="174"/>
      <c r="D32" s="174"/>
      <c r="E32" s="174"/>
      <c r="F32" s="174"/>
      <c r="G32" s="174"/>
      <c r="H32" s="174"/>
      <c r="I32" s="174"/>
      <c r="J32" s="174"/>
      <c r="K32" s="174"/>
      <c r="L32" s="174"/>
      <c r="M32" s="174"/>
    </row>
    <row r="35" spans="1:13" ht="18.5" x14ac:dyDescent="0.45">
      <c r="A35" s="109" t="s">
        <v>508</v>
      </c>
    </row>
    <row r="36" spans="1:13" ht="21" x14ac:dyDescent="0.5">
      <c r="A36" s="115"/>
    </row>
    <row r="37" spans="1:13" ht="18.5" x14ac:dyDescent="0.45">
      <c r="A37" s="126"/>
      <c r="B37" s="178" t="s">
        <v>485</v>
      </c>
      <c r="C37" s="178"/>
      <c r="D37" s="178"/>
      <c r="E37" s="179"/>
      <c r="F37" s="180" t="s">
        <v>486</v>
      </c>
      <c r="G37" s="178"/>
      <c r="H37" s="178"/>
      <c r="I37" s="179"/>
      <c r="J37" s="180" t="s">
        <v>487</v>
      </c>
      <c r="K37" s="178"/>
      <c r="L37" s="178"/>
      <c r="M37" s="179"/>
    </row>
    <row r="38" spans="1:13" ht="18.5" x14ac:dyDescent="0.45">
      <c r="A38" s="137"/>
      <c r="B38" s="181" t="s">
        <v>10</v>
      </c>
      <c r="C38" s="177"/>
      <c r="D38" s="176" t="s">
        <v>11</v>
      </c>
      <c r="E38" s="177"/>
      <c r="F38" s="176" t="s">
        <v>10</v>
      </c>
      <c r="G38" s="177"/>
      <c r="H38" s="176" t="s">
        <v>11</v>
      </c>
      <c r="I38" s="177"/>
      <c r="J38" s="176" t="s">
        <v>10</v>
      </c>
      <c r="K38" s="177"/>
      <c r="L38" s="176" t="s">
        <v>11</v>
      </c>
      <c r="M38" s="177"/>
    </row>
    <row r="39" spans="1:13" ht="33.5" customHeight="1" x14ac:dyDescent="0.45">
      <c r="A39" s="136" t="s">
        <v>432</v>
      </c>
      <c r="B39" s="134" t="s">
        <v>510</v>
      </c>
      <c r="C39" s="134" t="s">
        <v>511</v>
      </c>
      <c r="D39" s="134" t="s">
        <v>510</v>
      </c>
      <c r="E39" s="134" t="s">
        <v>511</v>
      </c>
      <c r="F39" s="134" t="s">
        <v>510</v>
      </c>
      <c r="G39" s="134" t="s">
        <v>511</v>
      </c>
      <c r="H39" s="134" t="s">
        <v>510</v>
      </c>
      <c r="I39" s="134" t="s">
        <v>511</v>
      </c>
      <c r="J39" s="134" t="s">
        <v>510</v>
      </c>
      <c r="K39" s="134" t="s">
        <v>511</v>
      </c>
      <c r="L39" s="134" t="s">
        <v>510</v>
      </c>
      <c r="M39" s="134" t="s">
        <v>511</v>
      </c>
    </row>
    <row r="40" spans="1:13" x14ac:dyDescent="0.35">
      <c r="A40" s="114">
        <v>3</v>
      </c>
      <c r="B40" s="21">
        <f>SUM(B26-B13)</f>
        <v>8.0399999999998702E-3</v>
      </c>
      <c r="C40" s="21">
        <f>SUM(B13-C26)</f>
        <v>5.1600000000000083E-3</v>
      </c>
      <c r="D40" s="21">
        <f>SUM(D26-C13)</f>
        <v>2.8000000000000455E-3</v>
      </c>
      <c r="E40" s="21">
        <f>SUM(C13-E26)</f>
        <v>2.6000000000000259E-3</v>
      </c>
      <c r="F40" s="21">
        <f>SUM(F26-D13)</f>
        <v>9.0000000000003272E-4</v>
      </c>
      <c r="G40" s="21">
        <f>SUM(D13-G26)</f>
        <v>8.000000000000021E-4</v>
      </c>
      <c r="H40" s="21">
        <f>SUM(H26-E13)</f>
        <v>2.9999999999999367E-3</v>
      </c>
      <c r="I40" s="21">
        <f>SUM(E13-I26)</f>
        <v>3.0999999999998355E-3</v>
      </c>
      <c r="J40" s="21">
        <f>SUM(J26-F13)</f>
        <v>1.3800000000001172E-3</v>
      </c>
      <c r="K40" s="21">
        <f>SUM(F13-K26)</f>
        <v>3.2199999999999868E-3</v>
      </c>
      <c r="L40" s="21">
        <f>SUM(L26-G13)</f>
        <v>5.8600000000000665E-3</v>
      </c>
      <c r="M40" s="21">
        <f>SUM(G13-M26)</f>
        <v>4.0399999999999534E-3</v>
      </c>
    </row>
    <row r="41" spans="1:13" x14ac:dyDescent="0.35">
      <c r="A41" s="114">
        <v>6</v>
      </c>
      <c r="B41" s="21">
        <f>SUM(B27-B14)</f>
        <v>3.6599999999999515E-3</v>
      </c>
      <c r="C41" s="21">
        <f>SUM(B14-C27)</f>
        <v>2.9399999999999878E-3</v>
      </c>
      <c r="D41" s="21">
        <f>SUM(D27-C14)</f>
        <v>2.5399999999999867E-3</v>
      </c>
      <c r="E41" s="21">
        <f>SUM(C14-E27)</f>
        <v>1.5600000000000058E-3</v>
      </c>
      <c r="F41" s="21">
        <f>SUM(F27-D14)</f>
        <v>3.6199999999998664E-3</v>
      </c>
      <c r="G41" s="21">
        <f>SUM(D14-G27)</f>
        <v>5.4800000000000196E-3</v>
      </c>
      <c r="H41" s="21">
        <f>SUM(H27-E14)</f>
        <v>2.2199999999999338E-3</v>
      </c>
      <c r="I41" s="21">
        <f>SUM(E14-I27)</f>
        <v>5.0799999999999283E-3</v>
      </c>
      <c r="J41" s="21">
        <f>SUM(J27-F14)</f>
        <v>4.2999999999998803E-3</v>
      </c>
      <c r="K41" s="21">
        <f>SUM(F14-K27)</f>
        <v>5.1999999999999616E-3</v>
      </c>
      <c r="L41" s="21">
        <f>SUM(L27-G14)</f>
        <v>1.9600000000000034E-3</v>
      </c>
      <c r="M41" s="21">
        <f>SUM(G14-M27)</f>
        <v>1.6400000000000442E-3</v>
      </c>
    </row>
    <row r="42" spans="1:13" x14ac:dyDescent="0.35">
      <c r="A42" s="114">
        <v>9</v>
      </c>
      <c r="B42" s="21">
        <f>SUM(B28-B15)</f>
        <v>2.8900000000000148E-2</v>
      </c>
      <c r="C42" s="21">
        <f>SUM(B15-C28)</f>
        <v>0</v>
      </c>
      <c r="D42" s="21">
        <f>SUM(D28-C15)</f>
        <v>1.7619999999999969E-2</v>
      </c>
      <c r="E42" s="21">
        <f>SUM(C15-E28)</f>
        <v>7.5799999999999201E-3</v>
      </c>
      <c r="F42" s="21">
        <f>SUM(F28-D15)</f>
        <v>4.2480000000000032E-2</v>
      </c>
      <c r="G42" s="21">
        <f>SUM(D15-G28)</f>
        <v>3.0019999999999977E-2</v>
      </c>
      <c r="H42" s="21">
        <f>SUM(H28-E15)</f>
        <v>3.6519999999999796E-2</v>
      </c>
      <c r="I42" s="21">
        <f>SUM(E15-I28)</f>
        <v>1.1680000000000003E-2</v>
      </c>
      <c r="J42" s="21">
        <f>SUM(J28-F15)</f>
        <v>3.8999999999999702E-2</v>
      </c>
      <c r="K42" s="21">
        <f>SUM(F15-K28)</f>
        <v>5.0000000000003375E-3</v>
      </c>
      <c r="L42" s="21">
        <f>SUM(L28-G15)</f>
        <v>1.3680000000000046E-2</v>
      </c>
      <c r="M42" s="21">
        <f>SUM(G15-M28)</f>
        <v>7.7200000000000393E-3</v>
      </c>
    </row>
    <row r="43" spans="1:13" x14ac:dyDescent="0.35">
      <c r="A43" s="114">
        <v>12</v>
      </c>
      <c r="B43" s="21">
        <f>SUM(B29-B16)</f>
        <v>6.5199999999999009E-3</v>
      </c>
      <c r="C43" s="21">
        <f>SUM(B16-C29)</f>
        <v>8.1800000000000345E-3</v>
      </c>
      <c r="D43" s="21">
        <f>SUM(D29-C16)</f>
        <v>4.7800000000000481E-3</v>
      </c>
      <c r="E43" s="21">
        <f>SUM(C16-E29)</f>
        <v>4.3199999999998379E-3</v>
      </c>
      <c r="F43" s="21">
        <f>SUM(F29-D16)</f>
        <v>1.7800000000001565E-3</v>
      </c>
      <c r="G43" s="21">
        <f>SUM(D16-G29)</f>
        <v>1.7200000000001242E-3</v>
      </c>
      <c r="H43" s="21">
        <f>SUM(H29-E16)</f>
        <v>1.4799999999999883E-2</v>
      </c>
      <c r="I43" s="21">
        <f>SUM(E16-I29)</f>
        <v>1.1500000000000107E-2</v>
      </c>
      <c r="J43" s="21">
        <f>SUM(J29-F16)</f>
        <v>6.5999999999999392E-3</v>
      </c>
      <c r="K43" s="21">
        <f>SUM(F16-K29)</f>
        <v>5.5000000000000604E-3</v>
      </c>
      <c r="L43" s="21">
        <f>SUM(L29-G16)</f>
        <v>5.3999999999999396E-3</v>
      </c>
      <c r="M43" s="21">
        <f>SUM(G16-M29)</f>
        <v>5.0000000000000253E-3</v>
      </c>
    </row>
    <row r="45" spans="1:13" ht="15.5" customHeight="1" x14ac:dyDescent="0.35">
      <c r="A45" s="174" t="s">
        <v>502</v>
      </c>
      <c r="B45" s="174"/>
      <c r="C45" s="174"/>
      <c r="D45" s="174"/>
      <c r="E45" s="174"/>
      <c r="F45" s="174"/>
      <c r="G45" s="174"/>
      <c r="H45" s="174"/>
      <c r="I45" s="174"/>
      <c r="J45" s="174"/>
      <c r="K45" s="174"/>
      <c r="L45" s="174"/>
      <c r="M45" s="174"/>
    </row>
    <row r="46" spans="1:13" x14ac:dyDescent="0.35">
      <c r="A46" s="174"/>
      <c r="B46" s="174"/>
      <c r="C46" s="174"/>
      <c r="D46" s="174"/>
      <c r="E46" s="174"/>
      <c r="F46" s="174"/>
      <c r="G46" s="174"/>
      <c r="H46" s="174"/>
      <c r="I46" s="174"/>
      <c r="J46" s="174"/>
      <c r="K46" s="174"/>
      <c r="L46" s="174"/>
      <c r="M46" s="174"/>
    </row>
    <row r="47" spans="1:13" x14ac:dyDescent="0.35">
      <c r="A47" s="131"/>
      <c r="B47" s="131"/>
      <c r="C47" s="131"/>
      <c r="D47" s="131"/>
      <c r="E47" s="131"/>
      <c r="F47" s="131"/>
      <c r="G47" s="131"/>
      <c r="H47" s="131"/>
      <c r="I47" s="131"/>
    </row>
    <row r="50" spans="1:5" ht="23.5" x14ac:dyDescent="0.55000000000000004">
      <c r="A50" s="127" t="s">
        <v>503</v>
      </c>
    </row>
    <row r="52" spans="1:5" ht="18.5" x14ac:dyDescent="0.45">
      <c r="A52" s="109" t="s">
        <v>504</v>
      </c>
    </row>
    <row r="53" spans="1:5" ht="21" x14ac:dyDescent="0.5">
      <c r="A53" s="115"/>
    </row>
    <row r="54" spans="1:5" ht="18.5" x14ac:dyDescent="0.45">
      <c r="B54" s="132" t="s">
        <v>485</v>
      </c>
      <c r="C54" s="132" t="s">
        <v>486</v>
      </c>
      <c r="D54" s="132" t="s">
        <v>496</v>
      </c>
    </row>
    <row r="55" spans="1:5" ht="18.5" x14ac:dyDescent="0.45">
      <c r="A55" s="133" t="s">
        <v>432</v>
      </c>
      <c r="B55" s="133" t="s">
        <v>10</v>
      </c>
      <c r="C55" s="133" t="s">
        <v>10</v>
      </c>
      <c r="D55" s="133" t="s">
        <v>10</v>
      </c>
    </row>
    <row r="56" spans="1:5" x14ac:dyDescent="0.35">
      <c r="A56" s="114">
        <v>3</v>
      </c>
      <c r="B56" s="21">
        <f>SUM('PETG - Resultatberegninger'!O6)</f>
        <v>7.3599999999999447E-3</v>
      </c>
      <c r="C56" s="21">
        <f>SUM('PETG - Resultatberegninger'!O47)</f>
        <v>7.21999999999996E-3</v>
      </c>
      <c r="D56" s="21">
        <f>SUM('PETG - Resultatberegninger'!O88)</f>
        <v>1.4200000000000036E-2</v>
      </c>
    </row>
    <row r="57" spans="1:5" x14ac:dyDescent="0.35">
      <c r="A57" s="114">
        <v>6</v>
      </c>
      <c r="B57" s="21">
        <f>SUM('PETG - Resultatberegninger'!O16)</f>
        <v>7.3999999999999847E-3</v>
      </c>
      <c r="C57" s="21">
        <f>SUM('PETG - Resultatberegninger'!O57)</f>
        <v>8.9000000000000416E-3</v>
      </c>
      <c r="D57" s="21">
        <f>SUM('PETG - Resultatberegninger'!O98)</f>
        <v>9.7599999999999458E-3</v>
      </c>
    </row>
    <row r="58" spans="1:5" x14ac:dyDescent="0.35">
      <c r="A58" s="114">
        <v>9</v>
      </c>
      <c r="B58" s="21">
        <f>SUM('PETG - Resultatberegninger'!O26)</f>
        <v>1.0179999999999944E-2</v>
      </c>
      <c r="C58" s="21">
        <f>SUM('PETG - Resultatberegninger'!O67)</f>
        <v>9.020000000000028E-3</v>
      </c>
      <c r="D58" s="21">
        <f>SUM('PETG - Resultatberegninger'!O108)</f>
        <v>1.6459999999999964E-2</v>
      </c>
    </row>
    <row r="59" spans="1:5" x14ac:dyDescent="0.35">
      <c r="A59" s="114">
        <v>12</v>
      </c>
      <c r="B59" s="21">
        <f>SUM('PETG - Resultatberegninger'!O36)</f>
        <v>5.9199999999999696E-3</v>
      </c>
      <c r="C59" s="21">
        <f>SUM('PETG - Resultatberegninger'!O77)</f>
        <v>1.0960000000000036E-2</v>
      </c>
      <c r="D59" s="21">
        <f>SUM('PETG - Resultatberegninger'!O118)</f>
        <v>1.2699999999999979E-2</v>
      </c>
    </row>
    <row r="61" spans="1:5" ht="16.5" customHeight="1" x14ac:dyDescent="0.35">
      <c r="A61" s="174" t="s">
        <v>498</v>
      </c>
      <c r="B61" s="174"/>
      <c r="C61" s="174"/>
      <c r="D61" s="174"/>
      <c r="E61" s="174"/>
    </row>
    <row r="62" spans="1:5" ht="16.5" customHeight="1" x14ac:dyDescent="0.35">
      <c r="A62" s="174"/>
      <c r="B62" s="174"/>
      <c r="C62" s="174"/>
      <c r="D62" s="174"/>
      <c r="E62" s="174"/>
    </row>
    <row r="63" spans="1:5" x14ac:dyDescent="0.35">
      <c r="A63" s="130"/>
      <c r="B63" s="130"/>
      <c r="C63" s="130"/>
      <c r="D63" s="130"/>
    </row>
    <row r="65" spans="1:9" ht="18.5" x14ac:dyDescent="0.45">
      <c r="A65" s="109" t="s">
        <v>517</v>
      </c>
    </row>
    <row r="66" spans="1:9" ht="21" x14ac:dyDescent="0.5">
      <c r="A66" s="115"/>
    </row>
    <row r="67" spans="1:9" ht="18.5" x14ac:dyDescent="0.45">
      <c r="B67" s="175" t="s">
        <v>485</v>
      </c>
      <c r="C67" s="175"/>
      <c r="D67" s="175" t="s">
        <v>486</v>
      </c>
      <c r="E67" s="175"/>
      <c r="F67" s="175" t="s">
        <v>487</v>
      </c>
      <c r="G67" s="175"/>
    </row>
    <row r="68" spans="1:9" ht="18.5" x14ac:dyDescent="0.45">
      <c r="A68" s="133" t="s">
        <v>432</v>
      </c>
      <c r="B68" s="133" t="s">
        <v>488</v>
      </c>
      <c r="C68" s="133" t="s">
        <v>434</v>
      </c>
      <c r="D68" s="133" t="s">
        <v>488</v>
      </c>
      <c r="E68" s="133" t="s">
        <v>434</v>
      </c>
      <c r="F68" s="133" t="s">
        <v>488</v>
      </c>
      <c r="G68" s="133" t="s">
        <v>434</v>
      </c>
    </row>
    <row r="69" spans="1:9" x14ac:dyDescent="0.35">
      <c r="A69" s="114">
        <v>3</v>
      </c>
      <c r="B69" s="21">
        <v>9.3999999999998529E-3</v>
      </c>
      <c r="C69" s="125">
        <v>4.8999999999999044E-3</v>
      </c>
      <c r="D69" s="74">
        <v>9.8000000000000309E-3</v>
      </c>
      <c r="E69" s="74">
        <v>1.0999999999998789E-3</v>
      </c>
      <c r="F69" s="21">
        <v>1.6900000000000137E-2</v>
      </c>
      <c r="G69" s="21">
        <v>1.1400000000000077E-2</v>
      </c>
    </row>
    <row r="70" spans="1:9" x14ac:dyDescent="0.35">
      <c r="A70" s="114">
        <v>6</v>
      </c>
      <c r="B70" s="21">
        <v>1.3900000000000023E-2</v>
      </c>
      <c r="C70" s="21">
        <v>9.9999999999988987E-5</v>
      </c>
      <c r="D70" s="21">
        <v>1.3200000000000101E-2</v>
      </c>
      <c r="E70" s="74">
        <v>2.1999999999999797E-3</v>
      </c>
      <c r="F70" s="74">
        <v>1.5899999999999803E-2</v>
      </c>
      <c r="G70" s="74">
        <v>6.0999999999999943E-3</v>
      </c>
    </row>
    <row r="71" spans="1:9" x14ac:dyDescent="0.35">
      <c r="A71" s="114">
        <v>9</v>
      </c>
      <c r="B71" s="21">
        <v>2.4399999999999977E-2</v>
      </c>
      <c r="C71" s="74">
        <v>-2.8999999999999027E-3</v>
      </c>
      <c r="D71" s="74">
        <v>1.6599999999999948E-2</v>
      </c>
      <c r="E71" s="74">
        <v>2.7000000000001467E-3</v>
      </c>
      <c r="F71" s="74">
        <v>2.6100000000000012E-2</v>
      </c>
      <c r="G71" s="74">
        <v>6.1999999999999833E-3</v>
      </c>
    </row>
    <row r="72" spans="1:9" x14ac:dyDescent="0.35">
      <c r="A72" s="114">
        <v>12</v>
      </c>
      <c r="B72" s="21">
        <v>7.7000000000000401E-3</v>
      </c>
      <c r="C72" s="74">
        <v>4.8999999999999044E-3</v>
      </c>
      <c r="D72" s="21">
        <v>1.1400000000000077E-2</v>
      </c>
      <c r="E72" s="74">
        <v>1.0299999999999976E-2</v>
      </c>
      <c r="F72" s="74">
        <v>1.3900000000000023E-2</v>
      </c>
      <c r="G72" s="21">
        <v>1.0999999999999899E-2</v>
      </c>
    </row>
    <row r="74" spans="1:9" ht="16" customHeight="1" x14ac:dyDescent="0.35">
      <c r="A74" s="174" t="s">
        <v>501</v>
      </c>
      <c r="B74" s="174"/>
      <c r="C74" s="174"/>
      <c r="D74" s="174"/>
      <c r="E74" s="174"/>
      <c r="F74" s="174"/>
      <c r="G74" s="174"/>
      <c r="H74" s="130"/>
      <c r="I74" s="130"/>
    </row>
    <row r="75" spans="1:9" x14ac:dyDescent="0.35">
      <c r="A75" s="174"/>
      <c r="B75" s="174"/>
      <c r="C75" s="174"/>
      <c r="D75" s="174"/>
      <c r="E75" s="174"/>
      <c r="F75" s="174"/>
      <c r="G75" s="174"/>
      <c r="H75" s="130"/>
      <c r="I75" s="130"/>
    </row>
    <row r="76" spans="1:9" x14ac:dyDescent="0.35">
      <c r="A76" s="174"/>
      <c r="B76" s="174"/>
      <c r="C76" s="174"/>
      <c r="D76" s="174"/>
      <c r="E76" s="174"/>
      <c r="F76" s="174"/>
      <c r="G76" s="174"/>
      <c r="H76" s="131"/>
      <c r="I76" s="131"/>
    </row>
    <row r="78" spans="1:9" ht="18.5" x14ac:dyDescent="0.45">
      <c r="A78" s="109" t="s">
        <v>507</v>
      </c>
    </row>
    <row r="79" spans="1:9" ht="21" x14ac:dyDescent="0.5">
      <c r="A79" s="115"/>
    </row>
    <row r="80" spans="1:9" ht="18.5" x14ac:dyDescent="0.45">
      <c r="B80" s="175" t="s">
        <v>485</v>
      </c>
      <c r="C80" s="175"/>
      <c r="D80" s="175" t="s">
        <v>486</v>
      </c>
      <c r="E80" s="175"/>
      <c r="F80" s="175" t="s">
        <v>487</v>
      </c>
      <c r="G80" s="175"/>
    </row>
    <row r="81" spans="1:7" ht="18.5" x14ac:dyDescent="0.45">
      <c r="B81" s="176" t="s">
        <v>10</v>
      </c>
      <c r="C81" s="177"/>
      <c r="D81" s="176" t="s">
        <v>10</v>
      </c>
      <c r="E81" s="177"/>
      <c r="F81" s="176" t="s">
        <v>10</v>
      </c>
      <c r="G81" s="177"/>
    </row>
    <row r="82" spans="1:7" ht="30" x14ac:dyDescent="0.45">
      <c r="A82" s="133" t="s">
        <v>432</v>
      </c>
      <c r="B82" s="134" t="s">
        <v>510</v>
      </c>
      <c r="C82" s="134" t="s">
        <v>511</v>
      </c>
      <c r="D82" s="134" t="s">
        <v>510</v>
      </c>
      <c r="E82" s="134" t="s">
        <v>511</v>
      </c>
      <c r="F82" s="134" t="s">
        <v>510</v>
      </c>
      <c r="G82" s="134" t="s">
        <v>511</v>
      </c>
    </row>
    <row r="83" spans="1:7" x14ac:dyDescent="0.35">
      <c r="A83" s="114">
        <v>3</v>
      </c>
      <c r="B83" s="21">
        <f>SUM(B69-B56)</f>
        <v>2.0399999999999082E-3</v>
      </c>
      <c r="C83" s="21">
        <f>SUM(B56-C69)</f>
        <v>2.4600000000000403E-3</v>
      </c>
      <c r="D83" s="21">
        <f>SUM(D69-C56)</f>
        <v>2.580000000000071E-3</v>
      </c>
      <c r="E83" s="21">
        <f>SUM(C56-E69)</f>
        <v>6.1200000000000811E-3</v>
      </c>
      <c r="F83" s="21">
        <f>SUM(F69-D56)</f>
        <v>2.7000000000001016E-3</v>
      </c>
      <c r="G83" s="21">
        <f>SUM(D56-G69)</f>
        <v>2.7999999999999588E-3</v>
      </c>
    </row>
    <row r="84" spans="1:7" x14ac:dyDescent="0.35">
      <c r="A84" s="114">
        <v>6</v>
      </c>
      <c r="B84" s="21">
        <f>SUM(B70-B57)</f>
        <v>6.5000000000000387E-3</v>
      </c>
      <c r="C84" s="21">
        <f>SUM(B57-C70)</f>
        <v>7.2999999999999957E-3</v>
      </c>
      <c r="D84" s="21">
        <f>SUM(D70-C57)</f>
        <v>4.300000000000059E-3</v>
      </c>
      <c r="E84" s="21">
        <f>SUM(C57-E70)</f>
        <v>6.7000000000000618E-3</v>
      </c>
      <c r="F84" s="21">
        <f>SUM(F70-D57)</f>
        <v>6.1399999999998574E-3</v>
      </c>
      <c r="G84" s="21">
        <f>SUM(D57-G70)</f>
        <v>3.6599999999999515E-3</v>
      </c>
    </row>
    <row r="85" spans="1:7" x14ac:dyDescent="0.35">
      <c r="A85" s="114">
        <v>9</v>
      </c>
      <c r="B85" s="21">
        <f>SUM(B71-B58)</f>
        <v>1.4220000000000033E-2</v>
      </c>
      <c r="C85" s="21">
        <f>SUM(B58-C71)</f>
        <v>1.3079999999999847E-2</v>
      </c>
      <c r="D85" s="21">
        <f>SUM(D71-C58)</f>
        <v>7.5799999999999201E-3</v>
      </c>
      <c r="E85" s="21">
        <f>SUM(C58-E71)</f>
        <v>6.3199999999998813E-3</v>
      </c>
      <c r="F85" s="21">
        <f>SUM(F71-D58)</f>
        <v>9.6400000000000478E-3</v>
      </c>
      <c r="G85" s="21">
        <f>SUM(D58-G71)</f>
        <v>1.0259999999999981E-2</v>
      </c>
    </row>
    <row r="86" spans="1:7" x14ac:dyDescent="0.35">
      <c r="A86" s="114">
        <v>12</v>
      </c>
      <c r="B86" s="21">
        <f>SUM(B72-B59)</f>
        <v>1.7800000000000706E-3</v>
      </c>
      <c r="C86" s="21">
        <f>SUM(B59-C72)</f>
        <v>1.0200000000000651E-3</v>
      </c>
      <c r="D86" s="21">
        <f>SUM(D72-C59)</f>
        <v>4.4000000000004105E-4</v>
      </c>
      <c r="E86" s="21">
        <f>SUM(C59-E72)</f>
        <v>6.6000000000005984E-4</v>
      </c>
      <c r="F86" s="21">
        <f>SUM(F72-D59)</f>
        <v>1.2000000000000448E-3</v>
      </c>
      <c r="G86" s="21">
        <f>SUM(D59-G72)</f>
        <v>1.7000000000000799E-3</v>
      </c>
    </row>
    <row r="88" spans="1:7" ht="13.5" customHeight="1" x14ac:dyDescent="0.35">
      <c r="A88" s="174" t="s">
        <v>505</v>
      </c>
      <c r="B88" s="174"/>
      <c r="C88" s="174"/>
      <c r="D88" s="174"/>
      <c r="E88" s="174"/>
      <c r="F88" s="174"/>
      <c r="G88" s="174"/>
    </row>
    <row r="89" spans="1:7" x14ac:dyDescent="0.35">
      <c r="A89" s="174"/>
      <c r="B89" s="174"/>
      <c r="C89" s="174"/>
      <c r="D89" s="174"/>
      <c r="E89" s="174"/>
      <c r="F89" s="174"/>
      <c r="G89" s="174"/>
    </row>
    <row r="90" spans="1:7" x14ac:dyDescent="0.35">
      <c r="A90" s="174"/>
      <c r="B90" s="174"/>
      <c r="C90" s="174"/>
      <c r="D90" s="174"/>
      <c r="E90" s="174"/>
      <c r="F90" s="174"/>
      <c r="G90" s="174"/>
    </row>
  </sheetData>
  <mergeCells count="36">
    <mergeCell ref="B67:C67"/>
    <mergeCell ref="D67:E67"/>
    <mergeCell ref="F67:G67"/>
    <mergeCell ref="B11:C11"/>
    <mergeCell ref="D11:E11"/>
    <mergeCell ref="F11:G11"/>
    <mergeCell ref="F23:I23"/>
    <mergeCell ref="J23:M23"/>
    <mergeCell ref="B37:E37"/>
    <mergeCell ref="F37:I37"/>
    <mergeCell ref="J37:M37"/>
    <mergeCell ref="F38:G38"/>
    <mergeCell ref="B23:E23"/>
    <mergeCell ref="B24:C24"/>
    <mergeCell ref="D24:E24"/>
    <mergeCell ref="A31:M32"/>
    <mergeCell ref="F24:G24"/>
    <mergeCell ref="H24:I24"/>
    <mergeCell ref="J24:K24"/>
    <mergeCell ref="L24:M24"/>
    <mergeCell ref="A3:I4"/>
    <mergeCell ref="A45:M46"/>
    <mergeCell ref="A74:G76"/>
    <mergeCell ref="A88:G90"/>
    <mergeCell ref="A61:E62"/>
    <mergeCell ref="H38:I38"/>
    <mergeCell ref="J38:K38"/>
    <mergeCell ref="L38:M38"/>
    <mergeCell ref="B81:C81"/>
    <mergeCell ref="D81:E81"/>
    <mergeCell ref="F81:G81"/>
    <mergeCell ref="B80:C80"/>
    <mergeCell ref="D80:E80"/>
    <mergeCell ref="F80:G80"/>
    <mergeCell ref="B38:C38"/>
    <mergeCell ref="D38:E3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36C29-EAE1-4919-9531-897F1CEABBA5}">
  <dimension ref="A1:M76"/>
  <sheetViews>
    <sheetView topLeftCell="A59" zoomScale="65" zoomScaleNormal="65" workbookViewId="0"/>
  </sheetViews>
  <sheetFormatPr baseColWidth="10" defaultRowHeight="14.5" x14ac:dyDescent="0.35"/>
  <sheetData>
    <row r="1" spans="1:10" ht="28.5" x14ac:dyDescent="0.65">
      <c r="A1" s="116" t="s">
        <v>491</v>
      </c>
    </row>
    <row r="2" spans="1:10" x14ac:dyDescent="0.35">
      <c r="A2" t="s">
        <v>539</v>
      </c>
    </row>
    <row r="3" spans="1:10" x14ac:dyDescent="0.35">
      <c r="A3" t="s">
        <v>506</v>
      </c>
    </row>
    <row r="5" spans="1:10" ht="21" x14ac:dyDescent="0.5">
      <c r="A5" s="140" t="s">
        <v>514</v>
      </c>
    </row>
    <row r="7" spans="1:10" ht="18.5" x14ac:dyDescent="0.45">
      <c r="A7" s="109" t="s">
        <v>500</v>
      </c>
      <c r="J7" s="120"/>
    </row>
    <row r="8" spans="1:10" ht="18.5" x14ac:dyDescent="0.45">
      <c r="A8" s="128"/>
    </row>
    <row r="9" spans="1:10" ht="18.5" x14ac:dyDescent="0.45">
      <c r="A9" s="109" t="s">
        <v>512</v>
      </c>
    </row>
    <row r="10" spans="1:10" ht="18.5" x14ac:dyDescent="0.45">
      <c r="A10" s="108" t="s">
        <v>432</v>
      </c>
      <c r="B10" s="108" t="s">
        <v>478</v>
      </c>
      <c r="C10" s="108" t="s">
        <v>479</v>
      </c>
      <c r="D10" s="108" t="s">
        <v>480</v>
      </c>
      <c r="E10" s="108" t="s">
        <v>481</v>
      </c>
      <c r="F10" s="108" t="s">
        <v>482</v>
      </c>
      <c r="G10" s="108" t="s">
        <v>483</v>
      </c>
    </row>
    <row r="11" spans="1:10" x14ac:dyDescent="0.35">
      <c r="A11" s="114">
        <v>3</v>
      </c>
      <c r="B11" s="117">
        <v>2.41E-2</v>
      </c>
      <c r="C11" s="117">
        <v>2.2800000000000001E-2</v>
      </c>
      <c r="D11" s="117">
        <v>2.93E-2</v>
      </c>
      <c r="E11" s="117">
        <v>0.03</v>
      </c>
      <c r="F11" s="117">
        <v>3.7999999999999999E-2</v>
      </c>
      <c r="G11" s="117">
        <v>4.36E-2</v>
      </c>
    </row>
    <row r="12" spans="1:10" x14ac:dyDescent="0.35">
      <c r="A12" s="114">
        <v>6</v>
      </c>
      <c r="B12" s="117">
        <v>2.5000000000000001E-2</v>
      </c>
      <c r="C12" s="117">
        <v>2.1700000000000001E-2</v>
      </c>
      <c r="D12" s="117">
        <v>3.1399999999999997E-2</v>
      </c>
      <c r="E12" s="117">
        <v>3.0200000000000001E-2</v>
      </c>
      <c r="F12" s="117">
        <v>4.2900000000000001E-2</v>
      </c>
      <c r="G12" s="117">
        <v>4.2599999999999999E-2</v>
      </c>
    </row>
    <row r="13" spans="1:10" x14ac:dyDescent="0.35">
      <c r="A13" s="114">
        <v>9</v>
      </c>
      <c r="B13" s="117">
        <v>2.64E-2</v>
      </c>
      <c r="C13" s="117">
        <v>3.3399999999999999E-2</v>
      </c>
      <c r="D13" s="117">
        <v>5.67E-2</v>
      </c>
      <c r="E13" s="117">
        <v>4.3900000000000002E-2</v>
      </c>
      <c r="F13" s="117">
        <v>4.4499999999999998E-2</v>
      </c>
      <c r="G13" s="117">
        <v>5.4800000000000001E-2</v>
      </c>
    </row>
    <row r="14" spans="1:10" x14ac:dyDescent="0.35">
      <c r="A14" s="114">
        <v>12</v>
      </c>
      <c r="B14" s="117">
        <v>3.6999999999999998E-2</v>
      </c>
      <c r="C14" s="117">
        <v>3.9199999999999999E-2</v>
      </c>
      <c r="D14" s="117">
        <v>4.7300000000000002E-2</v>
      </c>
      <c r="E14" s="117">
        <v>4.7199999999999999E-2</v>
      </c>
      <c r="F14" s="117">
        <v>5.0599999999999999E-2</v>
      </c>
      <c r="G14" s="117">
        <v>5.0999999999999997E-2</v>
      </c>
    </row>
    <row r="17" spans="1:13" ht="18.5" x14ac:dyDescent="0.45">
      <c r="A17" s="109" t="s">
        <v>513</v>
      </c>
    </row>
    <row r="18" spans="1:13" ht="18.5" x14ac:dyDescent="0.45">
      <c r="A18" s="126"/>
      <c r="B18" s="185" t="s">
        <v>485</v>
      </c>
      <c r="C18" s="185"/>
      <c r="D18" s="185"/>
      <c r="E18" s="186"/>
      <c r="F18" s="187" t="s">
        <v>486</v>
      </c>
      <c r="G18" s="185"/>
      <c r="H18" s="185"/>
      <c r="I18" s="186"/>
      <c r="J18" s="187" t="s">
        <v>487</v>
      </c>
      <c r="K18" s="185"/>
      <c r="L18" s="185"/>
      <c r="M18" s="186"/>
    </row>
    <row r="19" spans="1:13" ht="18.5" x14ac:dyDescent="0.45">
      <c r="A19" s="138"/>
      <c r="B19" s="188" t="s">
        <v>10</v>
      </c>
      <c r="C19" s="189"/>
      <c r="D19" s="190" t="s">
        <v>11</v>
      </c>
      <c r="E19" s="189"/>
      <c r="F19" s="190" t="s">
        <v>10</v>
      </c>
      <c r="G19" s="189"/>
      <c r="H19" s="190" t="s">
        <v>11</v>
      </c>
      <c r="I19" s="189"/>
      <c r="J19" s="190" t="s">
        <v>10</v>
      </c>
      <c r="K19" s="189"/>
      <c r="L19" s="190" t="s">
        <v>11</v>
      </c>
      <c r="M19" s="189"/>
    </row>
    <row r="20" spans="1:13" ht="30" x14ac:dyDescent="0.45">
      <c r="A20" s="139" t="s">
        <v>432</v>
      </c>
      <c r="B20" s="119" t="s">
        <v>510</v>
      </c>
      <c r="C20" s="119" t="s">
        <v>511</v>
      </c>
      <c r="D20" s="119" t="s">
        <v>510</v>
      </c>
      <c r="E20" s="119" t="s">
        <v>511</v>
      </c>
      <c r="F20" s="119" t="s">
        <v>510</v>
      </c>
      <c r="G20" s="119" t="s">
        <v>511</v>
      </c>
      <c r="H20" s="119" t="s">
        <v>510</v>
      </c>
      <c r="I20" s="119" t="s">
        <v>511</v>
      </c>
      <c r="J20" s="119" t="s">
        <v>510</v>
      </c>
      <c r="K20" s="119" t="s">
        <v>511</v>
      </c>
      <c r="L20" s="119" t="s">
        <v>510</v>
      </c>
      <c r="M20" s="119" t="s">
        <v>511</v>
      </c>
    </row>
    <row r="21" spans="1:13" x14ac:dyDescent="0.35">
      <c r="A21" s="114">
        <v>3</v>
      </c>
      <c r="B21" s="21">
        <v>8.0399999999998702E-3</v>
      </c>
      <c r="C21" s="21">
        <v>5.1600000000000083E-3</v>
      </c>
      <c r="D21" s="21">
        <v>2.8000000000000455E-3</v>
      </c>
      <c r="E21" s="21">
        <v>2.6000000000000259E-3</v>
      </c>
      <c r="F21" s="21">
        <v>9.0000000000003272E-4</v>
      </c>
      <c r="G21" s="21">
        <v>8.000000000000021E-4</v>
      </c>
      <c r="H21" s="21">
        <v>2.9999999999999367E-3</v>
      </c>
      <c r="I21" s="21">
        <v>3.0999999999998355E-3</v>
      </c>
      <c r="J21" s="21">
        <v>1.3800000000001172E-3</v>
      </c>
      <c r="K21" s="21">
        <v>3.2199999999999868E-3</v>
      </c>
      <c r="L21" s="21">
        <v>5.8600000000000665E-3</v>
      </c>
      <c r="M21" s="21">
        <v>4.0399999999999534E-3</v>
      </c>
    </row>
    <row r="22" spans="1:13" x14ac:dyDescent="0.35">
      <c r="A22" s="114">
        <v>6</v>
      </c>
      <c r="B22" s="21">
        <v>3.6599999999999515E-3</v>
      </c>
      <c r="C22" s="21">
        <v>2.9399999999999878E-3</v>
      </c>
      <c r="D22" s="21">
        <v>2.5399999999999867E-3</v>
      </c>
      <c r="E22" s="21">
        <v>1.5600000000000058E-3</v>
      </c>
      <c r="F22" s="21">
        <v>3.6199999999998664E-3</v>
      </c>
      <c r="G22" s="21">
        <v>5.4800000000000196E-3</v>
      </c>
      <c r="H22" s="21">
        <v>2.2199999999999338E-3</v>
      </c>
      <c r="I22" s="21">
        <v>5.0799999999999283E-3</v>
      </c>
      <c r="J22" s="21">
        <v>4.2999999999998803E-3</v>
      </c>
      <c r="K22" s="21">
        <v>5.1999999999999616E-3</v>
      </c>
      <c r="L22" s="21">
        <v>1.9600000000000034E-3</v>
      </c>
      <c r="M22" s="21">
        <v>1.6400000000000442E-3</v>
      </c>
    </row>
    <row r="23" spans="1:13" x14ac:dyDescent="0.35">
      <c r="A23" s="114">
        <v>9</v>
      </c>
      <c r="B23" s="21">
        <v>2.8900000000000148E-2</v>
      </c>
      <c r="C23" s="21">
        <v>0</v>
      </c>
      <c r="D23" s="21">
        <v>1.7619999999999969E-2</v>
      </c>
      <c r="E23" s="21">
        <v>7.5799999999999201E-3</v>
      </c>
      <c r="F23" s="21">
        <v>4.2480000000000032E-2</v>
      </c>
      <c r="G23" s="21">
        <v>3.0019999999999977E-2</v>
      </c>
      <c r="H23" s="21">
        <v>3.6519999999999796E-2</v>
      </c>
      <c r="I23" s="21">
        <v>1.1680000000000003E-2</v>
      </c>
      <c r="J23" s="21">
        <v>3.8999999999999702E-2</v>
      </c>
      <c r="K23" s="21">
        <v>5.0000000000003375E-3</v>
      </c>
      <c r="L23" s="21">
        <v>1.3680000000000046E-2</v>
      </c>
      <c r="M23" s="21">
        <v>7.7200000000000393E-3</v>
      </c>
    </row>
    <row r="24" spans="1:13" x14ac:dyDescent="0.35">
      <c r="A24" s="114">
        <v>12</v>
      </c>
      <c r="B24" s="21">
        <v>6.5199999999999009E-3</v>
      </c>
      <c r="C24" s="21">
        <v>8.1800000000000345E-3</v>
      </c>
      <c r="D24" s="21">
        <v>4.7800000000000481E-3</v>
      </c>
      <c r="E24" s="21">
        <v>4.3199999999998379E-3</v>
      </c>
      <c r="F24" s="21">
        <v>1.7800000000001565E-3</v>
      </c>
      <c r="G24" s="21">
        <v>1.7200000000001242E-3</v>
      </c>
      <c r="H24" s="21">
        <v>1.4799999999999883E-2</v>
      </c>
      <c r="I24" s="21">
        <v>1.1500000000000107E-2</v>
      </c>
      <c r="J24" s="21">
        <v>6.5999999999999392E-3</v>
      </c>
      <c r="K24" s="21">
        <v>5.5000000000000604E-3</v>
      </c>
      <c r="L24" s="21">
        <v>5.3999999999999396E-3</v>
      </c>
      <c r="M24" s="21">
        <v>5.0000000000000253E-3</v>
      </c>
    </row>
    <row r="59" spans="1:4" ht="21" x14ac:dyDescent="0.5">
      <c r="A59" s="140" t="s">
        <v>515</v>
      </c>
    </row>
    <row r="62" spans="1:4" ht="21" x14ac:dyDescent="0.5">
      <c r="A62" s="115" t="s">
        <v>489</v>
      </c>
    </row>
    <row r="63" spans="1:4" ht="18.5" x14ac:dyDescent="0.45">
      <c r="A63" s="108" t="s">
        <v>432</v>
      </c>
      <c r="B63" s="108" t="s">
        <v>478</v>
      </c>
      <c r="C63" s="108" t="s">
        <v>480</v>
      </c>
      <c r="D63" s="108" t="s">
        <v>482</v>
      </c>
    </row>
    <row r="64" spans="1:4" x14ac:dyDescent="0.35">
      <c r="A64" s="114">
        <v>3</v>
      </c>
      <c r="B64" s="21">
        <v>7.3599999999999447E-3</v>
      </c>
      <c r="C64" s="21">
        <v>7.21999999999996E-3</v>
      </c>
      <c r="D64" s="21">
        <v>1.4200000000000036E-2</v>
      </c>
    </row>
    <row r="65" spans="1:7" x14ac:dyDescent="0.35">
      <c r="A65" s="114">
        <v>6</v>
      </c>
      <c r="B65" s="21">
        <v>7.3999999999999847E-3</v>
      </c>
      <c r="C65" s="21">
        <v>8.9000000000000416E-3</v>
      </c>
      <c r="D65" s="21">
        <v>9.7599999999999458E-3</v>
      </c>
    </row>
    <row r="66" spans="1:7" x14ac:dyDescent="0.35">
      <c r="A66" s="114">
        <v>9</v>
      </c>
      <c r="B66" s="21">
        <v>1.0179999999999944E-2</v>
      </c>
      <c r="C66" s="21">
        <v>9.020000000000028E-3</v>
      </c>
      <c r="D66" s="21">
        <v>1.6459999999999964E-2</v>
      </c>
    </row>
    <row r="67" spans="1:7" x14ac:dyDescent="0.35">
      <c r="A67" s="114">
        <v>12</v>
      </c>
      <c r="B67" s="21">
        <v>5.9199999999999696E-3</v>
      </c>
      <c r="C67" s="21">
        <v>1.0960000000000036E-2</v>
      </c>
      <c r="D67" s="21">
        <v>1.3900000000000023E-2</v>
      </c>
    </row>
    <row r="70" spans="1:7" ht="21" x14ac:dyDescent="0.5">
      <c r="A70" s="115" t="s">
        <v>516</v>
      </c>
    </row>
    <row r="71" spans="1:7" ht="18.5" x14ac:dyDescent="0.45">
      <c r="A71" s="118" t="s">
        <v>432</v>
      </c>
      <c r="B71" s="183" t="s">
        <v>485</v>
      </c>
      <c r="C71" s="183"/>
      <c r="D71" s="183" t="s">
        <v>486</v>
      </c>
      <c r="E71" s="183"/>
      <c r="F71" s="183" t="s">
        <v>487</v>
      </c>
      <c r="G71" s="183"/>
    </row>
    <row r="72" spans="1:7" ht="29" x14ac:dyDescent="0.35">
      <c r="A72" s="74"/>
      <c r="B72" s="119" t="s">
        <v>510</v>
      </c>
      <c r="C72" s="119" t="s">
        <v>511</v>
      </c>
      <c r="D72" s="119" t="s">
        <v>510</v>
      </c>
      <c r="E72" s="119" t="s">
        <v>511</v>
      </c>
      <c r="F72" s="119" t="s">
        <v>510</v>
      </c>
      <c r="G72" s="119" t="s">
        <v>511</v>
      </c>
    </row>
    <row r="73" spans="1:7" x14ac:dyDescent="0.35">
      <c r="A73" s="114">
        <v>3</v>
      </c>
      <c r="B73" s="21">
        <v>2.0399999999999082E-3</v>
      </c>
      <c r="C73" s="21">
        <v>2.4600000000000403E-3</v>
      </c>
      <c r="D73" s="21">
        <v>2.580000000000071E-3</v>
      </c>
      <c r="E73" s="21">
        <v>6.1200000000000811E-3</v>
      </c>
      <c r="F73" s="21">
        <v>2.7000000000001016E-3</v>
      </c>
      <c r="G73" s="21">
        <v>2.7999999999999588E-3</v>
      </c>
    </row>
    <row r="74" spans="1:7" x14ac:dyDescent="0.35">
      <c r="A74" s="114">
        <v>6</v>
      </c>
      <c r="B74" s="21">
        <v>6.5000000000000387E-3</v>
      </c>
      <c r="C74" s="21">
        <v>7.2999999999999957E-3</v>
      </c>
      <c r="D74" s="21">
        <v>4.300000000000059E-3</v>
      </c>
      <c r="E74" s="21">
        <v>6.7000000000000618E-3</v>
      </c>
      <c r="F74" s="21">
        <v>6.1399999999998574E-3</v>
      </c>
      <c r="G74" s="21">
        <v>3.6599999999999515E-3</v>
      </c>
    </row>
    <row r="75" spans="1:7" x14ac:dyDescent="0.35">
      <c r="A75" s="114">
        <v>9</v>
      </c>
      <c r="B75" s="21">
        <v>1.4220000000000033E-2</v>
      </c>
      <c r="C75" s="21">
        <v>1.3079999999999847E-2</v>
      </c>
      <c r="D75" s="21">
        <v>7.5799999999999201E-3</v>
      </c>
      <c r="E75" s="21">
        <v>6.3199999999998813E-3</v>
      </c>
      <c r="F75" s="21">
        <v>9.6400000000000478E-3</v>
      </c>
      <c r="G75" s="21">
        <v>1.0259999999999981E-2</v>
      </c>
    </row>
    <row r="76" spans="1:7" x14ac:dyDescent="0.35">
      <c r="A76" s="114">
        <v>12</v>
      </c>
      <c r="B76" s="21">
        <v>1.7800000000000706E-3</v>
      </c>
      <c r="C76" s="21">
        <v>1.0200000000000651E-3</v>
      </c>
      <c r="D76" s="21">
        <v>4.4000000000004105E-4</v>
      </c>
      <c r="E76" s="21">
        <v>6.6000000000005984E-4</v>
      </c>
      <c r="F76" s="21">
        <v>1.2000000000000448E-3</v>
      </c>
      <c r="G76" s="21">
        <v>1.7000000000000799E-3</v>
      </c>
    </row>
  </sheetData>
  <mergeCells count="12">
    <mergeCell ref="J18:M18"/>
    <mergeCell ref="B19:C19"/>
    <mergeCell ref="D19:E19"/>
    <mergeCell ref="F19:G19"/>
    <mergeCell ref="H19:I19"/>
    <mergeCell ref="J19:K19"/>
    <mergeCell ref="L19:M19"/>
    <mergeCell ref="B71:C71"/>
    <mergeCell ref="D71:E71"/>
    <mergeCell ref="F71:G71"/>
    <mergeCell ref="B18:E18"/>
    <mergeCell ref="F18:I1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6498C-7A36-4E83-827F-A25E015E5534}">
  <dimension ref="A1:L38"/>
  <sheetViews>
    <sheetView zoomScale="70" zoomScaleNormal="70" workbookViewId="0"/>
  </sheetViews>
  <sheetFormatPr baseColWidth="10" defaultRowHeight="14.5" x14ac:dyDescent="0.35"/>
  <cols>
    <col min="2" max="2" width="13.7265625" customWidth="1"/>
    <col min="3" max="3" width="16.08984375" customWidth="1"/>
    <col min="4" max="4" width="24" customWidth="1"/>
    <col min="5" max="5" width="21.08984375" customWidth="1"/>
  </cols>
  <sheetData>
    <row r="1" spans="1:12" ht="28.5" x14ac:dyDescent="0.65">
      <c r="A1" s="116" t="s">
        <v>548</v>
      </c>
    </row>
    <row r="3" spans="1:12" ht="21" x14ac:dyDescent="0.5">
      <c r="A3" s="142" t="s">
        <v>544</v>
      </c>
    </row>
    <row r="4" spans="1:12" ht="16" customHeight="1" x14ac:dyDescent="0.5">
      <c r="A4" s="142"/>
    </row>
    <row r="5" spans="1:12" x14ac:dyDescent="0.35">
      <c r="A5" s="191" t="s">
        <v>432</v>
      </c>
      <c r="B5" s="192" t="s">
        <v>103</v>
      </c>
      <c r="C5" s="191" t="s">
        <v>545</v>
      </c>
      <c r="D5" s="191" t="s">
        <v>546</v>
      </c>
      <c r="E5" s="191" t="s">
        <v>547</v>
      </c>
    </row>
    <row r="6" spans="1:12" ht="23" customHeight="1" x14ac:dyDescent="0.35">
      <c r="A6" s="191"/>
      <c r="B6" s="192"/>
      <c r="C6" s="191"/>
      <c r="D6" s="191"/>
      <c r="E6" s="191"/>
    </row>
    <row r="7" spans="1:12" x14ac:dyDescent="0.35">
      <c r="A7" s="114">
        <v>3</v>
      </c>
      <c r="B7" s="114" t="s">
        <v>543</v>
      </c>
      <c r="C7" s="144">
        <v>2.41E-2</v>
      </c>
      <c r="D7" s="144">
        <v>7.4000000000000003E-3</v>
      </c>
      <c r="E7" s="145">
        <f t="shared" ref="E7:E18" si="0">SUM(D7/C7)</f>
        <v>0.30705394190871371</v>
      </c>
    </row>
    <row r="8" spans="1:12" x14ac:dyDescent="0.35">
      <c r="A8" s="114">
        <v>6</v>
      </c>
      <c r="B8" s="114" t="s">
        <v>543</v>
      </c>
      <c r="C8" s="144">
        <v>2.5000000000000001E-2</v>
      </c>
      <c r="D8" s="114">
        <v>7.4000000000000003E-3</v>
      </c>
      <c r="E8" s="145">
        <f t="shared" si="0"/>
        <v>0.29599999999999999</v>
      </c>
      <c r="G8" s="30"/>
      <c r="H8" s="30"/>
      <c r="I8" s="30"/>
      <c r="J8" s="30"/>
      <c r="K8" s="30"/>
      <c r="L8" s="30"/>
    </row>
    <row r="9" spans="1:12" x14ac:dyDescent="0.35">
      <c r="A9" s="114">
        <v>9</v>
      </c>
      <c r="B9" s="114" t="s">
        <v>543</v>
      </c>
      <c r="C9" s="114">
        <v>2.64E-2</v>
      </c>
      <c r="D9" s="144">
        <v>1.0200000000000001E-2</v>
      </c>
      <c r="E9" s="145">
        <f t="shared" si="0"/>
        <v>0.38636363636363641</v>
      </c>
      <c r="G9" s="30"/>
      <c r="H9" s="30"/>
      <c r="I9" s="30"/>
      <c r="J9" s="30"/>
    </row>
    <row r="10" spans="1:12" x14ac:dyDescent="0.35">
      <c r="A10" s="114">
        <v>12</v>
      </c>
      <c r="B10" s="114" t="s">
        <v>543</v>
      </c>
      <c r="C10" s="144">
        <v>3.6999999999999998E-2</v>
      </c>
      <c r="D10" s="114">
        <v>5.8999999999999999E-3</v>
      </c>
      <c r="E10" s="145">
        <f t="shared" si="0"/>
        <v>0.15945945945945947</v>
      </c>
      <c r="G10" s="30"/>
      <c r="H10" s="30"/>
      <c r="I10" s="30"/>
      <c r="J10" s="30"/>
    </row>
    <row r="11" spans="1:12" x14ac:dyDescent="0.35">
      <c r="A11" s="114">
        <v>3</v>
      </c>
      <c r="B11" s="114" t="s">
        <v>486</v>
      </c>
      <c r="C11" s="114">
        <v>2.93E-2</v>
      </c>
      <c r="D11" s="114">
        <v>7.1999999999999998E-3</v>
      </c>
      <c r="E11" s="145">
        <f t="shared" si="0"/>
        <v>0.24573378839590443</v>
      </c>
      <c r="G11" s="30"/>
      <c r="H11" s="30"/>
      <c r="I11" s="30"/>
      <c r="J11" s="30"/>
    </row>
    <row r="12" spans="1:12" x14ac:dyDescent="0.35">
      <c r="A12" s="114">
        <v>6</v>
      </c>
      <c r="B12" s="114" t="s">
        <v>486</v>
      </c>
      <c r="C12" s="114">
        <v>3.1399999999999997E-2</v>
      </c>
      <c r="D12" s="114">
        <v>8.8999999999999999E-3</v>
      </c>
      <c r="E12" s="145">
        <f t="shared" si="0"/>
        <v>0.28343949044585992</v>
      </c>
      <c r="G12" s="30"/>
      <c r="H12" s="30"/>
      <c r="I12" s="30"/>
      <c r="J12" s="30"/>
    </row>
    <row r="13" spans="1:12" x14ac:dyDescent="0.35">
      <c r="A13" s="114">
        <v>9</v>
      </c>
      <c r="B13" s="114" t="s">
        <v>486</v>
      </c>
      <c r="C13" s="144">
        <v>5.67E-2</v>
      </c>
      <c r="D13" s="144">
        <v>8.9999999999999993E-3</v>
      </c>
      <c r="E13" s="145">
        <f t="shared" si="0"/>
        <v>0.15873015873015872</v>
      </c>
      <c r="G13" s="30"/>
      <c r="H13" s="30"/>
      <c r="I13" s="30"/>
    </row>
    <row r="14" spans="1:12" x14ac:dyDescent="0.35">
      <c r="A14" s="114">
        <v>12</v>
      </c>
      <c r="B14" s="114" t="s">
        <v>486</v>
      </c>
      <c r="C14" s="114">
        <v>4.7300000000000002E-2</v>
      </c>
      <c r="D14" s="144">
        <v>1.0999999999999999E-2</v>
      </c>
      <c r="E14" s="145">
        <f t="shared" si="0"/>
        <v>0.23255813953488369</v>
      </c>
      <c r="G14" s="30"/>
      <c r="H14" s="30"/>
      <c r="I14" s="30"/>
    </row>
    <row r="15" spans="1:12" x14ac:dyDescent="0.35">
      <c r="A15" s="114">
        <v>3</v>
      </c>
      <c r="B15" s="114" t="s">
        <v>487</v>
      </c>
      <c r="C15" s="144">
        <v>3.7999999999999999E-2</v>
      </c>
      <c r="D15" s="114">
        <v>1.4200000000000001E-2</v>
      </c>
      <c r="E15" s="145">
        <f t="shared" si="0"/>
        <v>0.37368421052631584</v>
      </c>
      <c r="G15" s="30"/>
      <c r="H15" s="30"/>
      <c r="I15" s="30"/>
    </row>
    <row r="16" spans="1:12" x14ac:dyDescent="0.35">
      <c r="A16" s="114">
        <v>6</v>
      </c>
      <c r="B16" s="114" t="s">
        <v>487</v>
      </c>
      <c r="C16" s="114">
        <v>4.2900000000000001E-2</v>
      </c>
      <c r="D16" s="114">
        <v>9.7999999999999997E-3</v>
      </c>
      <c r="E16" s="145">
        <f t="shared" si="0"/>
        <v>0.22843822843822842</v>
      </c>
      <c r="G16" s="30"/>
      <c r="H16" s="30"/>
      <c r="I16" s="30"/>
    </row>
    <row r="17" spans="1:12" x14ac:dyDescent="0.35">
      <c r="A17" s="114">
        <v>9</v>
      </c>
      <c r="B17" s="114" t="s">
        <v>487</v>
      </c>
      <c r="C17" s="114">
        <v>4.4499999999999998E-2</v>
      </c>
      <c r="D17" s="114">
        <v>1.6500000000000001E-2</v>
      </c>
      <c r="E17" s="145">
        <f t="shared" si="0"/>
        <v>0.3707865168539326</v>
      </c>
      <c r="G17" s="30"/>
      <c r="H17" s="30"/>
      <c r="I17" s="30"/>
    </row>
    <row r="18" spans="1:12" x14ac:dyDescent="0.35">
      <c r="A18" s="114">
        <v>12</v>
      </c>
      <c r="B18" s="114" t="s">
        <v>487</v>
      </c>
      <c r="C18" s="114">
        <v>5.0599999999999999E-2</v>
      </c>
      <c r="D18" s="114">
        <v>1.2699999999999999E-2</v>
      </c>
      <c r="E18" s="145">
        <f t="shared" si="0"/>
        <v>0.25098814229249011</v>
      </c>
      <c r="G18" s="30"/>
      <c r="H18" s="30"/>
      <c r="I18" s="30"/>
      <c r="J18" s="30"/>
      <c r="K18" s="30"/>
      <c r="L18" s="30"/>
    </row>
    <row r="19" spans="1:12" x14ac:dyDescent="0.35">
      <c r="G19" s="30"/>
      <c r="H19" s="30"/>
      <c r="I19" s="30"/>
      <c r="J19" s="30"/>
    </row>
    <row r="20" spans="1:12" x14ac:dyDescent="0.35">
      <c r="G20" s="30"/>
      <c r="H20" s="30"/>
      <c r="I20" s="30"/>
      <c r="J20" s="30"/>
    </row>
    <row r="21" spans="1:12" ht="18.5" x14ac:dyDescent="0.45">
      <c r="A21" s="135" t="s">
        <v>432</v>
      </c>
      <c r="B21" s="135" t="s">
        <v>549</v>
      </c>
      <c r="C21" s="135" t="s">
        <v>550</v>
      </c>
      <c r="D21" s="135" t="s">
        <v>487</v>
      </c>
      <c r="G21" s="30"/>
      <c r="H21" s="30"/>
      <c r="I21" s="30"/>
      <c r="J21" s="30"/>
    </row>
    <row r="22" spans="1:12" x14ac:dyDescent="0.35">
      <c r="A22" s="114">
        <v>3</v>
      </c>
      <c r="B22" s="146">
        <v>0.30705394190871371</v>
      </c>
      <c r="C22" s="146">
        <v>0.24573378839590443</v>
      </c>
      <c r="D22" s="146">
        <v>0.37368421052631584</v>
      </c>
      <c r="G22" s="30"/>
      <c r="H22" s="30"/>
      <c r="I22" s="30"/>
      <c r="J22" s="30"/>
    </row>
    <row r="23" spans="1:12" x14ac:dyDescent="0.35">
      <c r="A23" s="114">
        <v>6</v>
      </c>
      <c r="B23" s="146">
        <v>0.29599999999999999</v>
      </c>
      <c r="C23" s="146">
        <v>0.28343949044585992</v>
      </c>
      <c r="D23" s="146">
        <v>0.22843822843822842</v>
      </c>
      <c r="G23" s="30"/>
      <c r="H23" s="30"/>
      <c r="I23" s="30"/>
    </row>
    <row r="24" spans="1:12" x14ac:dyDescent="0.35">
      <c r="A24" s="114">
        <v>9</v>
      </c>
      <c r="B24" s="146">
        <v>0.38636363636363641</v>
      </c>
      <c r="C24" s="146">
        <v>0.15873015873015872</v>
      </c>
      <c r="D24" s="146">
        <v>0.3707865168539326</v>
      </c>
      <c r="H24" s="30"/>
      <c r="I24" s="30"/>
    </row>
    <row r="25" spans="1:12" x14ac:dyDescent="0.35">
      <c r="A25" s="114">
        <v>12</v>
      </c>
      <c r="B25" s="146">
        <v>0.15945945945945947</v>
      </c>
      <c r="C25" s="146">
        <v>0.23255813953488369</v>
      </c>
      <c r="D25" s="146">
        <v>0.25098814229249011</v>
      </c>
      <c r="H25" s="30"/>
      <c r="I25" s="30"/>
    </row>
    <row r="26" spans="1:12" x14ac:dyDescent="0.35">
      <c r="H26" s="30"/>
      <c r="I26" s="30"/>
    </row>
    <row r="27" spans="1:12" x14ac:dyDescent="0.35">
      <c r="H27" s="30"/>
      <c r="I27" s="30"/>
    </row>
    <row r="28" spans="1:12" x14ac:dyDescent="0.35">
      <c r="G28" s="30"/>
      <c r="H28" s="30"/>
      <c r="I28" s="30"/>
      <c r="J28" s="30"/>
      <c r="K28" s="30"/>
      <c r="L28" s="30"/>
    </row>
    <row r="29" spans="1:12" x14ac:dyDescent="0.35">
      <c r="G29" s="30"/>
      <c r="H29" s="30"/>
      <c r="I29" s="30"/>
      <c r="J29" s="30"/>
    </row>
    <row r="30" spans="1:12" x14ac:dyDescent="0.35">
      <c r="G30" s="30"/>
      <c r="H30" s="30"/>
      <c r="I30" s="30"/>
      <c r="J30" s="30"/>
    </row>
    <row r="31" spans="1:12" x14ac:dyDescent="0.35">
      <c r="G31" s="30"/>
      <c r="H31" s="30"/>
      <c r="I31" s="30"/>
      <c r="J31" s="30"/>
    </row>
    <row r="32" spans="1:12" x14ac:dyDescent="0.35">
      <c r="G32" s="30"/>
      <c r="H32" s="30"/>
      <c r="I32" s="30"/>
      <c r="J32" s="30"/>
    </row>
    <row r="33" spans="7:12" x14ac:dyDescent="0.35">
      <c r="G33" s="30"/>
      <c r="H33" s="30"/>
      <c r="I33" s="30"/>
    </row>
    <row r="34" spans="7:12" x14ac:dyDescent="0.35">
      <c r="H34" s="30"/>
      <c r="I34" s="30"/>
    </row>
    <row r="35" spans="7:12" x14ac:dyDescent="0.35">
      <c r="H35" s="30"/>
      <c r="I35" s="30"/>
    </row>
    <row r="36" spans="7:12" x14ac:dyDescent="0.35">
      <c r="H36" s="30"/>
      <c r="I36" s="30"/>
    </row>
    <row r="37" spans="7:12" x14ac:dyDescent="0.35">
      <c r="H37" s="30"/>
      <c r="I37" s="30"/>
    </row>
    <row r="38" spans="7:12" x14ac:dyDescent="0.35">
      <c r="G38" s="30"/>
      <c r="H38" s="30"/>
      <c r="I38" s="30"/>
      <c r="J38" s="30"/>
      <c r="K38" s="30"/>
      <c r="L38" s="30"/>
    </row>
  </sheetData>
  <mergeCells count="5">
    <mergeCell ref="A5:A6"/>
    <mergeCell ref="B5:B6"/>
    <mergeCell ref="C5:C6"/>
    <mergeCell ref="D5:D6"/>
    <mergeCell ref="E5:E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0251C-5A95-43E5-BD06-8E9604529D58}">
  <dimension ref="A1:AG52"/>
  <sheetViews>
    <sheetView zoomScale="80" zoomScaleNormal="80" workbookViewId="0">
      <selection activeCell="U35" sqref="U35"/>
    </sheetView>
  </sheetViews>
  <sheetFormatPr baseColWidth="10" defaultColWidth="8.81640625" defaultRowHeight="14.5" x14ac:dyDescent="0.35"/>
  <cols>
    <col min="1" max="1" width="12.26953125" customWidth="1"/>
    <col min="4" max="4" width="9.7265625" bestFit="1" customWidth="1"/>
    <col min="5" max="5" width="11.81640625" bestFit="1" customWidth="1"/>
    <col min="6" max="6" width="12.90625" customWidth="1"/>
    <col min="11" max="11" width="12.6328125" customWidth="1"/>
    <col min="16" max="16" width="12.90625" customWidth="1"/>
    <col min="21" max="21" width="12.81640625" customWidth="1"/>
    <col min="26" max="26" width="12.7265625" customWidth="1"/>
  </cols>
  <sheetData>
    <row r="1" spans="2:33" ht="15" thickBot="1" x14ac:dyDescent="0.4"/>
    <row r="2" spans="2:33" ht="24" thickBot="1" x14ac:dyDescent="0.6">
      <c r="D2" s="155" t="s">
        <v>74</v>
      </c>
      <c r="E2" s="156"/>
      <c r="F2" s="157"/>
      <c r="H2" t="s">
        <v>484</v>
      </c>
    </row>
    <row r="3" spans="2:33" ht="23.5" x14ac:dyDescent="0.55000000000000004">
      <c r="D3" s="31"/>
      <c r="E3" s="31"/>
      <c r="F3" s="31"/>
    </row>
    <row r="4" spans="2:33" x14ac:dyDescent="0.35">
      <c r="B4" s="161" t="s">
        <v>1</v>
      </c>
      <c r="C4" s="162"/>
      <c r="D4" s="162" t="s">
        <v>2</v>
      </c>
      <c r="E4" s="163"/>
    </row>
    <row r="6" spans="2:33" x14ac:dyDescent="0.35">
      <c r="B6" s="33" t="s">
        <v>3</v>
      </c>
      <c r="C6" s="34" t="s">
        <v>4</v>
      </c>
      <c r="D6" s="39" t="s">
        <v>3</v>
      </c>
      <c r="E6" s="34" t="s">
        <v>4</v>
      </c>
    </row>
    <row r="7" spans="2:33" x14ac:dyDescent="0.35">
      <c r="B7" s="35" t="s">
        <v>75</v>
      </c>
      <c r="C7" s="41">
        <v>1.1818</v>
      </c>
      <c r="D7" s="35" t="s">
        <v>76</v>
      </c>
      <c r="E7" s="36">
        <v>1.171</v>
      </c>
    </row>
    <row r="8" spans="2:33" x14ac:dyDescent="0.35">
      <c r="B8" s="47" t="s">
        <v>75</v>
      </c>
      <c r="C8" s="42">
        <v>1.1695</v>
      </c>
      <c r="D8" s="35" t="s">
        <v>76</v>
      </c>
      <c r="E8" s="37">
        <v>1.1734</v>
      </c>
    </row>
    <row r="9" spans="2:33" x14ac:dyDescent="0.35">
      <c r="B9" s="47" t="s">
        <v>75</v>
      </c>
      <c r="C9" s="42">
        <v>1.1737</v>
      </c>
      <c r="D9" s="35" t="s">
        <v>76</v>
      </c>
      <c r="E9" s="37">
        <v>1.1693</v>
      </c>
    </row>
    <row r="10" spans="2:33" x14ac:dyDescent="0.35">
      <c r="B10" s="47" t="s">
        <v>75</v>
      </c>
      <c r="C10" s="42">
        <v>1.163</v>
      </c>
      <c r="D10" s="35" t="s">
        <v>76</v>
      </c>
      <c r="E10" s="37">
        <v>1.1675</v>
      </c>
    </row>
    <row r="11" spans="2:33" x14ac:dyDescent="0.35">
      <c r="B11" s="48" t="s">
        <v>75</v>
      </c>
      <c r="C11" s="43">
        <v>1.1684000000000001</v>
      </c>
      <c r="D11" s="44" t="s">
        <v>76</v>
      </c>
      <c r="E11" s="38">
        <v>1.1849000000000001</v>
      </c>
    </row>
    <row r="12" spans="2:33" ht="15" thickBot="1" x14ac:dyDescent="0.4"/>
    <row r="13" spans="2:33" ht="15" thickBot="1" x14ac:dyDescent="0.4">
      <c r="B13" s="158" t="s">
        <v>7</v>
      </c>
      <c r="C13" s="159"/>
      <c r="D13" s="15"/>
      <c r="E13" s="15"/>
      <c r="F13" s="15"/>
      <c r="G13" s="15"/>
      <c r="H13" s="15"/>
      <c r="I13" s="15"/>
      <c r="J13" s="15"/>
      <c r="K13" s="15"/>
      <c r="L13" s="159" t="s">
        <v>8</v>
      </c>
      <c r="M13" s="159"/>
      <c r="N13" s="15"/>
      <c r="O13" s="15"/>
      <c r="P13" s="15"/>
      <c r="Q13" s="15"/>
      <c r="R13" s="15"/>
      <c r="S13" s="15"/>
      <c r="T13" s="15"/>
      <c r="U13" s="15"/>
      <c r="V13" s="159" t="s">
        <v>9</v>
      </c>
      <c r="W13" s="159"/>
      <c r="X13" s="15"/>
      <c r="Y13" s="15"/>
      <c r="Z13" s="15"/>
      <c r="AA13" s="15"/>
      <c r="AB13" s="15"/>
      <c r="AC13" s="15"/>
      <c r="AD13" s="16"/>
      <c r="AE13" s="16"/>
      <c r="AF13" s="160"/>
      <c r="AG13" s="160"/>
    </row>
    <row r="14" spans="2:33" ht="15" thickBot="1" x14ac:dyDescent="0.4">
      <c r="B14" t="s">
        <v>10</v>
      </c>
      <c r="G14" t="s">
        <v>11</v>
      </c>
      <c r="L14" t="s">
        <v>10</v>
      </c>
      <c r="Q14" t="s">
        <v>11</v>
      </c>
      <c r="V14" t="s">
        <v>10</v>
      </c>
      <c r="AA14" t="s">
        <v>11</v>
      </c>
    </row>
    <row r="15" spans="2:33" ht="15" thickBot="1" x14ac:dyDescent="0.4">
      <c r="B15" s="12" t="s">
        <v>1</v>
      </c>
      <c r="C15" s="1" t="s">
        <v>48</v>
      </c>
      <c r="D15" s="1" t="s">
        <v>13</v>
      </c>
      <c r="E15" s="2" t="s">
        <v>49</v>
      </c>
      <c r="G15" s="12" t="s">
        <v>1</v>
      </c>
      <c r="H15" s="1" t="s">
        <v>48</v>
      </c>
      <c r="I15" s="2" t="s">
        <v>13</v>
      </c>
      <c r="L15" s="12" t="s">
        <v>1</v>
      </c>
      <c r="M15" s="1" t="s">
        <v>48</v>
      </c>
      <c r="N15" s="1" t="s">
        <v>13</v>
      </c>
      <c r="O15" s="2" t="s">
        <v>49</v>
      </c>
      <c r="Q15" s="12" t="s">
        <v>1</v>
      </c>
      <c r="R15" s="1" t="s">
        <v>48</v>
      </c>
      <c r="S15" s="2" t="s">
        <v>13</v>
      </c>
      <c r="V15" s="12" t="s">
        <v>1</v>
      </c>
      <c r="W15" s="1" t="s">
        <v>2</v>
      </c>
      <c r="X15" s="1" t="s">
        <v>13</v>
      </c>
      <c r="Y15" s="2" t="s">
        <v>49</v>
      </c>
      <c r="AA15" s="12" t="s">
        <v>1</v>
      </c>
      <c r="AB15" s="1" t="s">
        <v>2</v>
      </c>
      <c r="AC15" s="2" t="s">
        <v>13</v>
      </c>
    </row>
    <row r="16" spans="2:33" ht="15" thickBot="1" x14ac:dyDescent="0.4"/>
    <row r="17" spans="1:33" ht="15" thickBot="1" x14ac:dyDescent="0.4">
      <c r="B17" s="6" t="s">
        <v>3</v>
      </c>
      <c r="C17" s="7" t="s">
        <v>4</v>
      </c>
      <c r="D17" s="7" t="s">
        <v>15</v>
      </c>
      <c r="E17" s="8" t="s">
        <v>16</v>
      </c>
      <c r="G17" s="6" t="s">
        <v>3</v>
      </c>
      <c r="H17" s="7" t="s">
        <v>4</v>
      </c>
      <c r="I17" s="8" t="s">
        <v>15</v>
      </c>
      <c r="L17" s="6" t="s">
        <v>3</v>
      </c>
      <c r="M17" s="7" t="s">
        <v>4</v>
      </c>
      <c r="N17" s="7" t="s">
        <v>15</v>
      </c>
      <c r="O17" s="8" t="s">
        <v>16</v>
      </c>
      <c r="Q17" s="6" t="s">
        <v>3</v>
      </c>
      <c r="R17" s="7" t="s">
        <v>4</v>
      </c>
      <c r="S17" s="8" t="s">
        <v>15</v>
      </c>
      <c r="V17" s="6" t="s">
        <v>3</v>
      </c>
      <c r="W17" s="7" t="s">
        <v>4</v>
      </c>
      <c r="X17" s="7" t="s">
        <v>15</v>
      </c>
      <c r="Y17" s="8" t="s">
        <v>16</v>
      </c>
      <c r="AA17" s="6" t="s">
        <v>3</v>
      </c>
      <c r="AB17" s="7" t="s">
        <v>4</v>
      </c>
      <c r="AC17" s="8" t="s">
        <v>15</v>
      </c>
    </row>
    <row r="18" spans="1:33" x14ac:dyDescent="0.35">
      <c r="A18" t="s">
        <v>17</v>
      </c>
      <c r="B18" s="9" t="s">
        <v>77</v>
      </c>
      <c r="C18" s="19">
        <v>1.1702999999999999</v>
      </c>
      <c r="D18" s="19">
        <v>1.1871</v>
      </c>
      <c r="E18" s="20">
        <v>1.1717</v>
      </c>
      <c r="F18" t="s">
        <v>17</v>
      </c>
      <c r="G18" s="9" t="s">
        <v>78</v>
      </c>
      <c r="H18" s="19">
        <v>1.1712</v>
      </c>
      <c r="I18" s="20">
        <v>1.1863999999999999</v>
      </c>
      <c r="K18" t="s">
        <v>17</v>
      </c>
      <c r="L18" s="9" t="s">
        <v>79</v>
      </c>
      <c r="M18" s="19">
        <v>1.1677</v>
      </c>
      <c r="N18" s="19">
        <v>1.2136</v>
      </c>
      <c r="O18" s="20">
        <v>1.1700999999999999</v>
      </c>
      <c r="P18" t="s">
        <v>17</v>
      </c>
      <c r="Q18" s="9" t="s">
        <v>80</v>
      </c>
      <c r="R18" s="19">
        <v>1.165</v>
      </c>
      <c r="S18" s="20">
        <v>1.1846000000000001</v>
      </c>
      <c r="U18" t="s">
        <v>17</v>
      </c>
      <c r="V18" s="9" t="s">
        <v>81</v>
      </c>
      <c r="W18" s="19">
        <v>1.1695</v>
      </c>
      <c r="X18" s="19">
        <v>1.1871</v>
      </c>
      <c r="Y18" s="20">
        <v>1.1720999999999999</v>
      </c>
      <c r="Z18" t="s">
        <v>17</v>
      </c>
      <c r="AA18" s="9" t="s">
        <v>82</v>
      </c>
      <c r="AB18" s="19">
        <v>1.1666000000000001</v>
      </c>
      <c r="AC18" s="20">
        <v>1.1870000000000001</v>
      </c>
      <c r="AG18" s="107"/>
    </row>
    <row r="19" spans="1:33" ht="15" thickBot="1" x14ac:dyDescent="0.4">
      <c r="A19" t="s">
        <v>24</v>
      </c>
      <c r="B19" s="10" t="s">
        <v>77</v>
      </c>
      <c r="C19" s="21">
        <v>1.1658999999999999</v>
      </c>
      <c r="D19" s="21">
        <v>1.1825000000000001</v>
      </c>
      <c r="E19" s="22">
        <v>1.1664000000000001</v>
      </c>
      <c r="F19" t="s">
        <v>24</v>
      </c>
      <c r="G19" s="10" t="s">
        <v>78</v>
      </c>
      <c r="H19" s="21">
        <v>1.1727000000000001</v>
      </c>
      <c r="I19" s="22">
        <v>1.1889000000000001</v>
      </c>
      <c r="K19" t="s">
        <v>24</v>
      </c>
      <c r="L19" s="10" t="s">
        <v>79</v>
      </c>
      <c r="M19" s="21">
        <v>1.1738</v>
      </c>
      <c r="N19" s="21">
        <v>1.2090000000000001</v>
      </c>
      <c r="O19" s="22">
        <v>1.1846000000000001</v>
      </c>
      <c r="P19" t="s">
        <v>24</v>
      </c>
      <c r="Q19" s="10" t="s">
        <v>80</v>
      </c>
      <c r="R19" s="21">
        <v>1.1682999999999999</v>
      </c>
      <c r="S19" s="22">
        <v>1.1966000000000001</v>
      </c>
      <c r="U19" t="s">
        <v>24</v>
      </c>
      <c r="V19" s="10" t="s">
        <v>81</v>
      </c>
      <c r="W19" s="21">
        <v>1.167</v>
      </c>
      <c r="X19" s="21">
        <v>1.1914</v>
      </c>
      <c r="Y19" s="22">
        <v>1.1705000000000001</v>
      </c>
      <c r="Z19" t="s">
        <v>24</v>
      </c>
      <c r="AA19" s="10" t="s">
        <v>82</v>
      </c>
      <c r="AB19" s="21">
        <v>1.1613</v>
      </c>
      <c r="AC19" s="22">
        <v>1.1811</v>
      </c>
      <c r="AG19" s="107"/>
    </row>
    <row r="20" spans="1:33" x14ac:dyDescent="0.35">
      <c r="A20" t="s">
        <v>24</v>
      </c>
      <c r="B20" s="10" t="s">
        <v>77</v>
      </c>
      <c r="C20" s="21">
        <v>1.1713</v>
      </c>
      <c r="D20" s="21">
        <v>1.1863999999999999</v>
      </c>
      <c r="E20" s="22">
        <v>1.1715</v>
      </c>
      <c r="F20" t="s">
        <v>24</v>
      </c>
      <c r="G20" s="10" t="s">
        <v>78</v>
      </c>
      <c r="H20" s="21">
        <v>1.1726000000000001</v>
      </c>
      <c r="I20" s="22">
        <v>1.2033</v>
      </c>
      <c r="K20" t="s">
        <v>24</v>
      </c>
      <c r="L20" s="9" t="s">
        <v>79</v>
      </c>
      <c r="M20" s="21">
        <v>1.1785000000000001</v>
      </c>
      <c r="N20" s="21">
        <v>1.2275</v>
      </c>
      <c r="O20" s="22">
        <v>1.1822999999999999</v>
      </c>
      <c r="P20" t="s">
        <v>24</v>
      </c>
      <c r="Q20" s="9" t="s">
        <v>80</v>
      </c>
      <c r="R20" s="21">
        <v>1.1737</v>
      </c>
      <c r="S20" s="22">
        <v>1.1875</v>
      </c>
      <c r="U20" t="s">
        <v>24</v>
      </c>
      <c r="V20" s="10" t="s">
        <v>81</v>
      </c>
      <c r="W20" s="21">
        <v>1.1780999999999999</v>
      </c>
      <c r="X20" s="21">
        <v>1.1948000000000001</v>
      </c>
      <c r="Y20" s="22">
        <v>1.1819999999999999</v>
      </c>
      <c r="Z20" t="s">
        <v>24</v>
      </c>
      <c r="AA20" s="10" t="s">
        <v>82</v>
      </c>
      <c r="AB20" s="21">
        <v>1.1754</v>
      </c>
      <c r="AC20" s="22">
        <v>1.206</v>
      </c>
      <c r="AG20" s="107"/>
    </row>
    <row r="21" spans="1:33" ht="15" thickBot="1" x14ac:dyDescent="0.4">
      <c r="A21" t="s">
        <v>24</v>
      </c>
      <c r="B21" s="10" t="s">
        <v>77</v>
      </c>
      <c r="C21" s="21">
        <v>1.1767000000000001</v>
      </c>
      <c r="D21" s="21">
        <v>1.1915</v>
      </c>
      <c r="E21" s="22">
        <v>1.1778</v>
      </c>
      <c r="F21" t="s">
        <v>24</v>
      </c>
      <c r="G21" s="10" t="s">
        <v>78</v>
      </c>
      <c r="H21" s="21">
        <v>1.1648000000000001</v>
      </c>
      <c r="I21" s="22">
        <v>1.1818</v>
      </c>
      <c r="K21" t="s">
        <v>24</v>
      </c>
      <c r="L21" s="10" t="s">
        <v>79</v>
      </c>
      <c r="M21" s="21">
        <v>1.1601999999999999</v>
      </c>
      <c r="N21" s="21">
        <v>1.2171000000000001</v>
      </c>
      <c r="O21" s="22">
        <v>1.163</v>
      </c>
      <c r="P21" t="s">
        <v>24</v>
      </c>
      <c r="Q21" s="10" t="s">
        <v>80</v>
      </c>
      <c r="R21" s="21">
        <v>1.1716</v>
      </c>
      <c r="S21" s="22">
        <v>1.1867000000000001</v>
      </c>
      <c r="U21" t="s">
        <v>24</v>
      </c>
      <c r="V21" s="10" t="s">
        <v>81</v>
      </c>
      <c r="W21" s="21">
        <v>1.1665000000000001</v>
      </c>
      <c r="X21" s="21">
        <v>1.1798999999999999</v>
      </c>
      <c r="Y21" s="22">
        <v>1.1685000000000001</v>
      </c>
      <c r="Z21" t="s">
        <v>24</v>
      </c>
      <c r="AA21" s="10" t="s">
        <v>82</v>
      </c>
      <c r="AB21" s="21">
        <v>1.1560999999999999</v>
      </c>
      <c r="AC21" s="22">
        <v>1.1738999999999999</v>
      </c>
      <c r="AG21" s="107"/>
    </row>
    <row r="22" spans="1:33" ht="15" thickBot="1" x14ac:dyDescent="0.4">
      <c r="A22" t="s">
        <v>24</v>
      </c>
      <c r="B22" s="11" t="s">
        <v>77</v>
      </c>
      <c r="C22" s="23">
        <v>1.1756</v>
      </c>
      <c r="D22" s="23">
        <v>1.1929000000000001</v>
      </c>
      <c r="E22" s="24">
        <v>1.1779999999999999</v>
      </c>
      <c r="F22" t="s">
        <v>24</v>
      </c>
      <c r="G22" s="11" t="s">
        <v>78</v>
      </c>
      <c r="H22" s="23">
        <v>1.1715</v>
      </c>
      <c r="I22" s="24">
        <v>1.2016</v>
      </c>
      <c r="K22" t="s">
        <v>24</v>
      </c>
      <c r="L22" s="9" t="s">
        <v>79</v>
      </c>
      <c r="M22" s="23">
        <v>1.1653</v>
      </c>
      <c r="N22" s="23">
        <v>1.2099</v>
      </c>
      <c r="O22" s="24">
        <v>1.1668000000000001</v>
      </c>
      <c r="P22" t="s">
        <v>24</v>
      </c>
      <c r="Q22" s="9" t="s">
        <v>80</v>
      </c>
      <c r="R22" s="23">
        <v>1.1771</v>
      </c>
      <c r="S22" s="24">
        <v>1.1931</v>
      </c>
      <c r="U22" t="s">
        <v>24</v>
      </c>
      <c r="V22" s="11" t="s">
        <v>81</v>
      </c>
      <c r="W22" s="23">
        <v>1.1758999999999999</v>
      </c>
      <c r="X22" s="23">
        <v>1.2175</v>
      </c>
      <c r="Y22" s="24">
        <v>1.1794</v>
      </c>
      <c r="Z22" t="s">
        <v>24</v>
      </c>
      <c r="AA22" s="11" t="s">
        <v>82</v>
      </c>
      <c r="AB22" s="23">
        <v>1.1785000000000001</v>
      </c>
      <c r="AC22" s="24">
        <v>1.2017</v>
      </c>
      <c r="AG22" s="107"/>
    </row>
    <row r="24" spans="1:33" ht="15" thickBot="1" x14ac:dyDescent="0.4"/>
    <row r="25" spans="1:33" ht="15" thickBot="1" x14ac:dyDescent="0.4">
      <c r="B25" s="12" t="s">
        <v>1</v>
      </c>
      <c r="C25" s="1" t="s">
        <v>48</v>
      </c>
      <c r="D25" s="49">
        <v>46090</v>
      </c>
      <c r="E25" s="68">
        <v>46092</v>
      </c>
      <c r="G25" s="12" t="s">
        <v>1</v>
      </c>
      <c r="H25" s="1" t="s">
        <v>48</v>
      </c>
      <c r="I25" s="68">
        <v>46090</v>
      </c>
      <c r="L25" s="12" t="s">
        <v>1</v>
      </c>
      <c r="M25" s="1" t="s">
        <v>48</v>
      </c>
      <c r="N25" s="49">
        <v>46090</v>
      </c>
      <c r="O25" s="68">
        <v>46092</v>
      </c>
      <c r="Q25" s="12" t="s">
        <v>1</v>
      </c>
      <c r="R25" s="1" t="s">
        <v>48</v>
      </c>
      <c r="S25" s="68">
        <v>46090</v>
      </c>
      <c r="V25" s="12" t="s">
        <v>1</v>
      </c>
      <c r="W25" s="1" t="s">
        <v>2</v>
      </c>
      <c r="X25" s="49">
        <v>46090</v>
      </c>
      <c r="Y25" s="68">
        <v>46092</v>
      </c>
      <c r="AA25" s="12" t="s">
        <v>1</v>
      </c>
      <c r="AB25" s="1" t="s">
        <v>2</v>
      </c>
      <c r="AC25" s="49">
        <v>46090</v>
      </c>
    </row>
    <row r="26" spans="1:33" ht="15" thickBot="1" x14ac:dyDescent="0.4"/>
    <row r="27" spans="1:33" ht="15" thickBot="1" x14ac:dyDescent="0.4">
      <c r="B27" s="3" t="s">
        <v>3</v>
      </c>
      <c r="C27" s="4" t="s">
        <v>4</v>
      </c>
      <c r="D27" s="4" t="s">
        <v>15</v>
      </c>
      <c r="E27" s="5" t="s">
        <v>16</v>
      </c>
      <c r="G27" s="3" t="s">
        <v>3</v>
      </c>
      <c r="H27" s="4" t="s">
        <v>4</v>
      </c>
      <c r="I27" s="5" t="s">
        <v>15</v>
      </c>
      <c r="L27" s="3" t="s">
        <v>3</v>
      </c>
      <c r="M27" s="4" t="s">
        <v>4</v>
      </c>
      <c r="N27" s="4" t="s">
        <v>15</v>
      </c>
      <c r="O27" s="5" t="s">
        <v>16</v>
      </c>
      <c r="Q27" s="3" t="s">
        <v>3</v>
      </c>
      <c r="R27" s="4" t="s">
        <v>4</v>
      </c>
      <c r="S27" s="5" t="s">
        <v>15</v>
      </c>
      <c r="V27" s="3" t="s">
        <v>3</v>
      </c>
      <c r="W27" s="4" t="s">
        <v>4</v>
      </c>
      <c r="X27" s="4" t="s">
        <v>15</v>
      </c>
      <c r="Y27" s="5" t="s">
        <v>16</v>
      </c>
      <c r="AA27" s="3" t="s">
        <v>3</v>
      </c>
      <c r="AB27" s="4" t="s">
        <v>4</v>
      </c>
      <c r="AC27" s="5" t="s">
        <v>15</v>
      </c>
    </row>
    <row r="28" spans="1:33" x14ac:dyDescent="0.35">
      <c r="A28" t="s">
        <v>17</v>
      </c>
      <c r="B28" s="13" t="s">
        <v>83</v>
      </c>
      <c r="C28" s="25">
        <v>1.1711</v>
      </c>
      <c r="D28" s="25">
        <v>1.1896</v>
      </c>
      <c r="E28" s="26">
        <v>1.1704000000000001</v>
      </c>
      <c r="F28" t="s">
        <v>17</v>
      </c>
      <c r="G28" s="13" t="s">
        <v>84</v>
      </c>
      <c r="H28" s="25">
        <v>1.1633</v>
      </c>
      <c r="I28" s="26">
        <v>1.2002999999999999</v>
      </c>
      <c r="K28" t="s">
        <v>17</v>
      </c>
      <c r="L28" s="13" t="s">
        <v>85</v>
      </c>
      <c r="M28" s="25">
        <v>1.1812</v>
      </c>
      <c r="N28" s="25">
        <v>1.2374000000000001</v>
      </c>
      <c r="O28" s="26">
        <v>1.1718</v>
      </c>
      <c r="P28" t="s">
        <v>17</v>
      </c>
      <c r="Q28" s="13" t="s">
        <v>86</v>
      </c>
      <c r="R28" s="25">
        <v>1.1746000000000001</v>
      </c>
      <c r="S28" s="26">
        <v>1.2481</v>
      </c>
      <c r="U28" t="s">
        <v>17</v>
      </c>
      <c r="V28" s="13" t="s">
        <v>87</v>
      </c>
      <c r="W28" s="25">
        <v>1.1731</v>
      </c>
      <c r="X28" s="25">
        <v>1.2267999999999999</v>
      </c>
      <c r="Y28" s="26">
        <v>1.177</v>
      </c>
      <c r="Z28" t="s">
        <v>17</v>
      </c>
      <c r="AA28" s="13" t="s">
        <v>88</v>
      </c>
      <c r="AB28" s="25">
        <v>1.1576</v>
      </c>
      <c r="AC28" s="26">
        <v>1.2176</v>
      </c>
      <c r="AG28" s="107"/>
    </row>
    <row r="29" spans="1:33" x14ac:dyDescent="0.35">
      <c r="A29" t="s">
        <v>24</v>
      </c>
      <c r="B29" s="10" t="s">
        <v>83</v>
      </c>
      <c r="C29" s="21">
        <v>1.1711</v>
      </c>
      <c r="D29" s="21">
        <v>1.1910000000000001</v>
      </c>
      <c r="E29" s="22">
        <v>1.1701999999999999</v>
      </c>
      <c r="F29" t="s">
        <v>24</v>
      </c>
      <c r="G29" s="10" t="s">
        <v>84</v>
      </c>
      <c r="H29" s="21">
        <v>1.171</v>
      </c>
      <c r="I29" s="22">
        <v>1.1907000000000001</v>
      </c>
      <c r="K29" t="s">
        <v>24</v>
      </c>
      <c r="L29" s="10" t="s">
        <v>85</v>
      </c>
      <c r="M29" s="21">
        <v>1.1751</v>
      </c>
      <c r="N29" s="21">
        <v>1.2214</v>
      </c>
      <c r="O29" s="22">
        <v>1.1772</v>
      </c>
      <c r="P29" t="s">
        <v>24</v>
      </c>
      <c r="Q29" s="10" t="s">
        <v>86</v>
      </c>
      <c r="R29" s="21">
        <v>1.17</v>
      </c>
      <c r="S29" s="22">
        <v>1.246</v>
      </c>
      <c r="U29" t="s">
        <v>24</v>
      </c>
      <c r="V29" s="10" t="s">
        <v>87</v>
      </c>
      <c r="W29" s="21">
        <v>1.1565000000000001</v>
      </c>
      <c r="X29" s="21">
        <v>1.2206999999999999</v>
      </c>
      <c r="Y29" s="22">
        <v>1.1738</v>
      </c>
      <c r="Z29" t="s">
        <v>24</v>
      </c>
      <c r="AA29" s="10" t="s">
        <v>88</v>
      </c>
      <c r="AB29" s="30">
        <v>1.1719999999999999</v>
      </c>
      <c r="AC29" s="22">
        <v>1.2396</v>
      </c>
      <c r="AG29" s="107"/>
    </row>
    <row r="30" spans="1:33" x14ac:dyDescent="0.35">
      <c r="A30" t="s">
        <v>24</v>
      </c>
      <c r="B30" s="10" t="s">
        <v>83</v>
      </c>
      <c r="C30" s="21">
        <v>1.1708000000000001</v>
      </c>
      <c r="D30" s="21">
        <v>1.2055</v>
      </c>
      <c r="E30" s="22">
        <v>1.1732</v>
      </c>
      <c r="F30" t="s">
        <v>24</v>
      </c>
      <c r="G30" s="10" t="s">
        <v>84</v>
      </c>
      <c r="H30" s="21">
        <v>1.1717</v>
      </c>
      <c r="I30" s="22">
        <v>1.2204999999999999</v>
      </c>
      <c r="K30" t="s">
        <v>24</v>
      </c>
      <c r="L30" s="13" t="s">
        <v>85</v>
      </c>
      <c r="M30" s="21">
        <v>1.1718999999999999</v>
      </c>
      <c r="N30" s="21">
        <v>1.2289000000000001</v>
      </c>
      <c r="O30" s="22">
        <v>1.1782999999999999</v>
      </c>
      <c r="P30" t="s">
        <v>24</v>
      </c>
      <c r="Q30" s="13" t="s">
        <v>86</v>
      </c>
      <c r="R30" s="21">
        <v>1.1787000000000001</v>
      </c>
      <c r="S30" s="22">
        <v>1.2266999999999999</v>
      </c>
      <c r="U30" t="s">
        <v>24</v>
      </c>
      <c r="V30" s="10" t="s">
        <v>87</v>
      </c>
      <c r="W30" s="21">
        <v>1.1739999999999999</v>
      </c>
      <c r="X30" s="21">
        <v>1.246</v>
      </c>
      <c r="Y30" s="22">
        <v>1.1783999999999999</v>
      </c>
      <c r="Z30" t="s">
        <v>24</v>
      </c>
      <c r="AA30" s="10" t="s">
        <v>88</v>
      </c>
      <c r="AB30" s="21">
        <v>1.1843999999999999</v>
      </c>
      <c r="AC30" s="22">
        <v>1.2304999999999999</v>
      </c>
      <c r="AG30" s="107"/>
    </row>
    <row r="31" spans="1:33" x14ac:dyDescent="0.35">
      <c r="A31" t="s">
        <v>24</v>
      </c>
      <c r="B31" s="10" t="s">
        <v>83</v>
      </c>
      <c r="C31" s="21">
        <v>1.1633</v>
      </c>
      <c r="D31" s="21">
        <v>1.181</v>
      </c>
      <c r="E31" s="22">
        <v>1.1711</v>
      </c>
      <c r="F31" t="s">
        <v>24</v>
      </c>
      <c r="G31" s="10" t="s">
        <v>84</v>
      </c>
      <c r="H31" s="21">
        <v>1.1625000000000001</v>
      </c>
      <c r="I31" s="22">
        <v>1.2132000000000001</v>
      </c>
      <c r="K31" t="s">
        <v>24</v>
      </c>
      <c r="L31" s="10" t="s">
        <v>85</v>
      </c>
      <c r="M31" s="21">
        <v>1.1639999999999999</v>
      </c>
      <c r="N31" s="21">
        <v>1.2188000000000001</v>
      </c>
      <c r="O31" s="22">
        <v>1.1708000000000001</v>
      </c>
      <c r="P31" t="s">
        <v>24</v>
      </c>
      <c r="Q31" s="10" t="s">
        <v>86</v>
      </c>
      <c r="R31" s="21">
        <v>1.1819999999999999</v>
      </c>
      <c r="S31" s="22">
        <v>1.2357</v>
      </c>
      <c r="U31" t="s">
        <v>24</v>
      </c>
      <c r="V31" s="10" t="s">
        <v>87</v>
      </c>
      <c r="W31" s="21">
        <v>1.1823999999999999</v>
      </c>
      <c r="X31" s="21">
        <v>1.2332000000000001</v>
      </c>
      <c r="Y31" s="22">
        <v>1.1691</v>
      </c>
      <c r="Z31" t="s">
        <v>24</v>
      </c>
      <c r="AA31" s="10" t="s">
        <v>88</v>
      </c>
      <c r="AB31" s="21">
        <v>1.1698999999999999</v>
      </c>
      <c r="AC31" s="22">
        <v>1.2301</v>
      </c>
      <c r="AG31" s="107"/>
    </row>
    <row r="32" spans="1:33" ht="15" thickBot="1" x14ac:dyDescent="0.4">
      <c r="A32" t="s">
        <v>24</v>
      </c>
      <c r="B32" s="11" t="s">
        <v>83</v>
      </c>
      <c r="C32" s="23">
        <v>1.1656</v>
      </c>
      <c r="D32" s="23">
        <v>1.1830000000000001</v>
      </c>
      <c r="E32" s="24">
        <v>1.1700999999999999</v>
      </c>
      <c r="F32" t="s">
        <v>24</v>
      </c>
      <c r="G32" s="11" t="s">
        <v>84</v>
      </c>
      <c r="H32" s="23">
        <v>1.1647000000000001</v>
      </c>
      <c r="I32" s="24">
        <v>1.1900999999999999</v>
      </c>
      <c r="K32" t="s">
        <v>24</v>
      </c>
      <c r="L32" s="13" t="s">
        <v>85</v>
      </c>
      <c r="M32" s="23">
        <v>1.1802999999999999</v>
      </c>
      <c r="N32" s="23">
        <v>1.2349000000000001</v>
      </c>
      <c r="O32" s="24">
        <v>1.1729000000000001</v>
      </c>
      <c r="P32" t="s">
        <v>24</v>
      </c>
      <c r="Q32" s="13" t="s">
        <v>86</v>
      </c>
      <c r="R32" s="23">
        <v>1.1633</v>
      </c>
      <c r="S32" s="24">
        <v>1.2412000000000001</v>
      </c>
      <c r="U32" t="s">
        <v>24</v>
      </c>
      <c r="V32" s="11" t="s">
        <v>87</v>
      </c>
      <c r="W32" s="23">
        <v>1.1698999999999999</v>
      </c>
      <c r="X32" s="23">
        <v>1.2181</v>
      </c>
      <c r="Y32" s="24">
        <v>1.1721999999999999</v>
      </c>
      <c r="Z32" t="s">
        <v>24</v>
      </c>
      <c r="AA32" s="11" t="s">
        <v>88</v>
      </c>
      <c r="AB32" s="23">
        <v>1.1761999999999999</v>
      </c>
      <c r="AC32" s="24">
        <v>1.2439</v>
      </c>
      <c r="AD32">
        <v>7</v>
      </c>
      <c r="AG32" s="107"/>
    </row>
    <row r="33" spans="1:33" x14ac:dyDescent="0.35">
      <c r="AC33" s="18"/>
    </row>
    <row r="34" spans="1:33" ht="15" thickBot="1" x14ac:dyDescent="0.4"/>
    <row r="35" spans="1:33" ht="15" thickBot="1" x14ac:dyDescent="0.4">
      <c r="B35" s="12" t="s">
        <v>1</v>
      </c>
      <c r="C35" s="1" t="s">
        <v>48</v>
      </c>
      <c r="D35" s="49">
        <v>46111</v>
      </c>
      <c r="E35" s="68">
        <v>46113</v>
      </c>
      <c r="G35" s="12" t="s">
        <v>1</v>
      </c>
      <c r="H35" s="1" t="s">
        <v>48</v>
      </c>
      <c r="I35" s="68">
        <v>46111</v>
      </c>
      <c r="L35" s="12" t="s">
        <v>1</v>
      </c>
      <c r="M35" s="1" t="s">
        <v>48</v>
      </c>
      <c r="N35" s="49">
        <v>46111</v>
      </c>
      <c r="O35" s="68">
        <v>46113</v>
      </c>
      <c r="Q35" s="12" t="s">
        <v>1</v>
      </c>
      <c r="R35" s="1" t="s">
        <v>48</v>
      </c>
      <c r="S35" s="68">
        <v>46111</v>
      </c>
      <c r="V35" s="12" t="s">
        <v>1</v>
      </c>
      <c r="W35" s="1" t="s">
        <v>2</v>
      </c>
      <c r="X35" s="49">
        <v>46111</v>
      </c>
      <c r="Y35" s="68">
        <v>46113</v>
      </c>
      <c r="AA35" s="12" t="s">
        <v>1</v>
      </c>
      <c r="AB35" s="1" t="s">
        <v>2</v>
      </c>
      <c r="AC35" s="49">
        <v>46111</v>
      </c>
    </row>
    <row r="36" spans="1:33" ht="15" thickBot="1" x14ac:dyDescent="0.4"/>
    <row r="37" spans="1:33" ht="15" thickBot="1" x14ac:dyDescent="0.4">
      <c r="B37" s="3" t="s">
        <v>3</v>
      </c>
      <c r="C37" s="4" t="s">
        <v>4</v>
      </c>
      <c r="D37" s="4" t="s">
        <v>15</v>
      </c>
      <c r="E37" s="5" t="s">
        <v>16</v>
      </c>
      <c r="G37" s="3" t="s">
        <v>3</v>
      </c>
      <c r="H37" s="4" t="s">
        <v>4</v>
      </c>
      <c r="I37" s="5" t="s">
        <v>15</v>
      </c>
      <c r="L37" s="3" t="s">
        <v>3</v>
      </c>
      <c r="M37" s="4" t="s">
        <v>4</v>
      </c>
      <c r="N37" s="4" t="s">
        <v>15</v>
      </c>
      <c r="O37" s="5" t="s">
        <v>16</v>
      </c>
      <c r="Q37" s="3" t="s">
        <v>3</v>
      </c>
      <c r="R37" s="4" t="s">
        <v>4</v>
      </c>
      <c r="S37" s="5" t="s">
        <v>15</v>
      </c>
      <c r="V37" s="3" t="s">
        <v>3</v>
      </c>
      <c r="W37" s="4" t="s">
        <v>4</v>
      </c>
      <c r="X37" s="4" t="s">
        <v>15</v>
      </c>
      <c r="Y37" s="5" t="s">
        <v>16</v>
      </c>
      <c r="AA37" s="3" t="s">
        <v>3</v>
      </c>
      <c r="AB37" s="4" t="s">
        <v>4</v>
      </c>
      <c r="AC37" s="5" t="s">
        <v>15</v>
      </c>
    </row>
    <row r="38" spans="1:33" x14ac:dyDescent="0.35">
      <c r="A38" t="s">
        <v>17</v>
      </c>
      <c r="B38" s="13" t="s">
        <v>89</v>
      </c>
      <c r="C38" s="25">
        <v>1.1694</v>
      </c>
      <c r="D38" s="25">
        <v>1.2084999999999999</v>
      </c>
      <c r="E38" s="26">
        <v>1.1698</v>
      </c>
      <c r="F38" t="s">
        <v>17</v>
      </c>
      <c r="G38" s="13" t="s">
        <v>90</v>
      </c>
      <c r="H38" s="25">
        <v>1.1599999999999999</v>
      </c>
      <c r="I38" s="26">
        <v>1.2253000000000001</v>
      </c>
      <c r="K38" t="s">
        <v>17</v>
      </c>
      <c r="L38" s="13" t="s">
        <v>91</v>
      </c>
      <c r="M38" s="25">
        <v>1.1671</v>
      </c>
      <c r="N38" s="25">
        <v>1.2223999999999999</v>
      </c>
      <c r="O38" s="26">
        <v>1.1727000000000001</v>
      </c>
      <c r="P38" t="s">
        <v>17</v>
      </c>
      <c r="Q38" s="13" t="s">
        <v>92</v>
      </c>
      <c r="R38" s="25">
        <v>1.1660999999999999</v>
      </c>
      <c r="S38" s="26">
        <v>1.2276</v>
      </c>
      <c r="U38" t="s">
        <v>17</v>
      </c>
      <c r="V38" s="13" t="s">
        <v>93</v>
      </c>
      <c r="W38" s="25">
        <v>1.1735</v>
      </c>
      <c r="X38" s="25">
        <v>1.2352000000000001</v>
      </c>
      <c r="Y38" s="26">
        <v>1.1677999999999999</v>
      </c>
      <c r="Z38" t="s">
        <v>17</v>
      </c>
      <c r="AA38" s="13" t="s">
        <v>94</v>
      </c>
      <c r="AB38" s="25">
        <v>1.1779999999999999</v>
      </c>
      <c r="AC38" s="26">
        <v>1.2153</v>
      </c>
      <c r="AG38" s="107"/>
    </row>
    <row r="39" spans="1:33" x14ac:dyDescent="0.35">
      <c r="A39" t="s">
        <v>24</v>
      </c>
      <c r="B39" s="10" t="s">
        <v>89</v>
      </c>
      <c r="C39" s="21">
        <v>1.17</v>
      </c>
      <c r="D39" s="21">
        <v>1.1988000000000001</v>
      </c>
      <c r="E39" s="22">
        <v>1.1706000000000001</v>
      </c>
      <c r="F39" t="s">
        <v>24</v>
      </c>
      <c r="G39" s="10" t="s">
        <v>90</v>
      </c>
      <c r="H39" s="21">
        <v>1.161</v>
      </c>
      <c r="I39" s="22">
        <v>1.2018</v>
      </c>
      <c r="K39" t="s">
        <v>24</v>
      </c>
      <c r="L39" s="13" t="s">
        <v>91</v>
      </c>
      <c r="M39" s="21">
        <v>1.1705000000000001</v>
      </c>
      <c r="N39" s="21">
        <v>1.2366999999999999</v>
      </c>
      <c r="O39" s="22">
        <v>1.1776</v>
      </c>
      <c r="P39" t="s">
        <v>24</v>
      </c>
      <c r="Q39" s="10" t="s">
        <v>92</v>
      </c>
      <c r="R39" s="21">
        <v>1.1773</v>
      </c>
      <c r="S39" s="22">
        <v>1.2153</v>
      </c>
      <c r="U39" t="s">
        <v>24</v>
      </c>
      <c r="V39" s="10" t="s">
        <v>93</v>
      </c>
      <c r="W39" s="21">
        <v>1.1708000000000001</v>
      </c>
      <c r="X39" s="21">
        <v>1.2422</v>
      </c>
      <c r="Y39" s="22">
        <v>1.1748000000000001</v>
      </c>
      <c r="Z39" t="s">
        <v>24</v>
      </c>
      <c r="AA39" s="10" t="s">
        <v>94</v>
      </c>
      <c r="AB39" s="21">
        <v>1.1697</v>
      </c>
      <c r="AC39" s="22">
        <v>1.2050000000000001</v>
      </c>
      <c r="AG39" s="107"/>
    </row>
    <row r="40" spans="1:33" x14ac:dyDescent="0.35">
      <c r="A40" t="s">
        <v>24</v>
      </c>
      <c r="B40" s="10" t="s">
        <v>89</v>
      </c>
      <c r="C40" s="21">
        <v>1.1661999999999999</v>
      </c>
      <c r="D40" s="21">
        <v>1.1894</v>
      </c>
      <c r="E40" s="22">
        <v>1.1735</v>
      </c>
      <c r="F40" t="s">
        <v>24</v>
      </c>
      <c r="G40" s="10" t="s">
        <v>90</v>
      </c>
      <c r="H40" s="21">
        <v>1.167</v>
      </c>
      <c r="I40" s="22">
        <v>1.1852</v>
      </c>
      <c r="K40" t="s">
        <v>24</v>
      </c>
      <c r="L40" s="13" t="s">
        <v>91</v>
      </c>
      <c r="M40" s="21">
        <v>1.1758</v>
      </c>
      <c r="N40" s="21">
        <v>1.2318</v>
      </c>
      <c r="O40" s="22">
        <v>1.1788000000000001</v>
      </c>
      <c r="P40" t="s">
        <v>24</v>
      </c>
      <c r="Q40" s="13" t="s">
        <v>92</v>
      </c>
      <c r="R40" s="21">
        <v>1.1726000000000001</v>
      </c>
      <c r="S40" s="22">
        <v>1.2369000000000001</v>
      </c>
      <c r="U40" t="s">
        <v>24</v>
      </c>
      <c r="V40" s="10" t="s">
        <v>93</v>
      </c>
      <c r="W40" s="21">
        <v>1.1678999999999999</v>
      </c>
      <c r="X40" s="21">
        <v>1.2016</v>
      </c>
      <c r="Y40" s="22">
        <v>1.177</v>
      </c>
      <c r="Z40" t="s">
        <v>24</v>
      </c>
      <c r="AA40" s="10" t="s">
        <v>94</v>
      </c>
      <c r="AB40" s="21">
        <v>1.1745000000000001</v>
      </c>
      <c r="AC40" s="22">
        <v>1.2254</v>
      </c>
      <c r="AG40" s="107"/>
    </row>
    <row r="41" spans="1:33" x14ac:dyDescent="0.35">
      <c r="A41" t="s">
        <v>24</v>
      </c>
      <c r="B41" s="10" t="s">
        <v>89</v>
      </c>
      <c r="C41" s="21">
        <v>1.1795</v>
      </c>
      <c r="D41" s="21">
        <v>1.2001999999999999</v>
      </c>
      <c r="E41" s="22">
        <v>1.1738</v>
      </c>
      <c r="F41" t="s">
        <v>24</v>
      </c>
      <c r="G41" s="10" t="s">
        <v>90</v>
      </c>
      <c r="H41" s="21">
        <v>1.1834</v>
      </c>
      <c r="I41" s="22">
        <v>1.2201</v>
      </c>
      <c r="K41" t="s">
        <v>24</v>
      </c>
      <c r="L41" s="13" t="s">
        <v>91</v>
      </c>
      <c r="M41" s="21">
        <v>1.1745000000000001</v>
      </c>
      <c r="N41" s="21">
        <v>1.2242</v>
      </c>
      <c r="O41" s="22">
        <v>1.1760999999999999</v>
      </c>
      <c r="P41" t="s">
        <v>24</v>
      </c>
      <c r="Q41" s="10" t="s">
        <v>92</v>
      </c>
      <c r="R41" s="21">
        <v>1.1738999999999999</v>
      </c>
      <c r="S41" s="22">
        <v>1.2082999999999999</v>
      </c>
      <c r="U41" t="s">
        <v>24</v>
      </c>
      <c r="V41" s="10" t="s">
        <v>93</v>
      </c>
      <c r="W41" s="21">
        <v>1.1700999999999999</v>
      </c>
      <c r="X41" s="21">
        <v>1.2164999999999999</v>
      </c>
      <c r="Y41" s="22">
        <v>1.1695</v>
      </c>
      <c r="Z41" t="s">
        <v>24</v>
      </c>
      <c r="AA41" s="10" t="s">
        <v>94</v>
      </c>
      <c r="AB41" s="21">
        <v>1.1800999999999999</v>
      </c>
      <c r="AC41" s="22">
        <v>1.2126999999999999</v>
      </c>
      <c r="AG41" s="107"/>
    </row>
    <row r="42" spans="1:33" ht="15" thickBot="1" x14ac:dyDescent="0.4">
      <c r="A42" t="s">
        <v>24</v>
      </c>
      <c r="B42" s="11" t="s">
        <v>89</v>
      </c>
      <c r="C42" s="23">
        <v>1.1733</v>
      </c>
      <c r="D42" s="23">
        <v>1.1975</v>
      </c>
      <c r="E42" s="24">
        <v>1.1708000000000001</v>
      </c>
      <c r="F42" t="s">
        <v>24</v>
      </c>
      <c r="G42" s="11" t="s">
        <v>90</v>
      </c>
      <c r="H42" s="23">
        <v>1.1741999999999999</v>
      </c>
      <c r="I42" s="24">
        <v>1.1903999999999999</v>
      </c>
      <c r="K42" t="s">
        <v>24</v>
      </c>
      <c r="L42" s="13" t="s">
        <v>91</v>
      </c>
      <c r="M42" s="23">
        <v>1.1661999999999999</v>
      </c>
      <c r="N42" s="23">
        <v>1.2188000000000001</v>
      </c>
      <c r="O42" s="24">
        <v>1.1725000000000001</v>
      </c>
      <c r="P42" t="s">
        <v>24</v>
      </c>
      <c r="Q42" s="13" t="s">
        <v>92</v>
      </c>
      <c r="R42" s="23">
        <v>1.1709000000000001</v>
      </c>
      <c r="S42" s="24">
        <v>1.2043999999999999</v>
      </c>
      <c r="U42" t="s">
        <v>24</v>
      </c>
      <c r="V42" s="11" t="s">
        <v>93</v>
      </c>
      <c r="W42" s="23">
        <v>1.1736</v>
      </c>
      <c r="X42" s="23">
        <v>1.2161</v>
      </c>
      <c r="Y42" s="24">
        <v>1.1721999999999999</v>
      </c>
      <c r="Z42" t="s">
        <v>24</v>
      </c>
      <c r="AA42" s="11" t="s">
        <v>94</v>
      </c>
      <c r="AB42" s="23">
        <v>1.1733</v>
      </c>
      <c r="AC42" s="24">
        <v>1.2331000000000001</v>
      </c>
      <c r="AG42" s="107"/>
    </row>
    <row r="43" spans="1:33" x14ac:dyDescent="0.35">
      <c r="R43" s="30"/>
      <c r="S43" s="30"/>
    </row>
    <row r="44" spans="1:33" ht="15" thickBot="1" x14ac:dyDescent="0.4"/>
    <row r="45" spans="1:33" ht="15" thickBot="1" x14ac:dyDescent="0.4">
      <c r="B45" s="12" t="s">
        <v>1</v>
      </c>
      <c r="C45" s="1" t="s">
        <v>48</v>
      </c>
      <c r="D45" s="49">
        <v>46133</v>
      </c>
      <c r="E45" s="68">
        <v>46135</v>
      </c>
      <c r="G45" s="12" t="s">
        <v>1</v>
      </c>
      <c r="H45" s="1" t="s">
        <v>48</v>
      </c>
      <c r="I45" s="49">
        <v>46133</v>
      </c>
      <c r="L45" s="12" t="s">
        <v>1</v>
      </c>
      <c r="M45" s="1" t="s">
        <v>48</v>
      </c>
      <c r="N45" s="49">
        <v>46133</v>
      </c>
      <c r="O45" s="68">
        <v>46135</v>
      </c>
      <c r="Q45" s="12" t="s">
        <v>1</v>
      </c>
      <c r="R45" s="1" t="s">
        <v>48</v>
      </c>
      <c r="S45" s="49">
        <v>46133</v>
      </c>
      <c r="V45" s="12" t="s">
        <v>1</v>
      </c>
      <c r="W45" s="1" t="s">
        <v>2</v>
      </c>
      <c r="X45" s="49">
        <v>46133</v>
      </c>
      <c r="Y45" s="68">
        <v>46135</v>
      </c>
      <c r="AA45" s="12" t="s">
        <v>1</v>
      </c>
      <c r="AB45" s="1" t="s">
        <v>2</v>
      </c>
      <c r="AC45" s="49">
        <v>46133</v>
      </c>
    </row>
    <row r="46" spans="1:33" ht="15" thickBot="1" x14ac:dyDescent="0.4"/>
    <row r="47" spans="1:33" ht="15" thickBot="1" x14ac:dyDescent="0.4">
      <c r="B47" s="3" t="s">
        <v>3</v>
      </c>
      <c r="C47" s="4" t="s">
        <v>4</v>
      </c>
      <c r="D47" s="4" t="s">
        <v>15</v>
      </c>
      <c r="E47" s="5" t="s">
        <v>16</v>
      </c>
      <c r="G47" s="3" t="s">
        <v>3</v>
      </c>
      <c r="H47" s="4" t="s">
        <v>4</v>
      </c>
      <c r="I47" s="5" t="s">
        <v>15</v>
      </c>
      <c r="L47" s="3" t="s">
        <v>3</v>
      </c>
      <c r="M47" s="4" t="s">
        <v>4</v>
      </c>
      <c r="N47" s="4" t="s">
        <v>15</v>
      </c>
      <c r="O47" s="5" t="s">
        <v>16</v>
      </c>
      <c r="Q47" s="3" t="s">
        <v>3</v>
      </c>
      <c r="R47" s="4" t="s">
        <v>4</v>
      </c>
      <c r="S47" s="5" t="s">
        <v>15</v>
      </c>
      <c r="V47" s="3" t="s">
        <v>3</v>
      </c>
      <c r="W47" s="4" t="s">
        <v>4</v>
      </c>
      <c r="X47" s="4" t="s">
        <v>15</v>
      </c>
      <c r="Y47" s="5" t="s">
        <v>16</v>
      </c>
      <c r="AA47" s="3" t="s">
        <v>3</v>
      </c>
      <c r="AB47" s="4" t="s">
        <v>4</v>
      </c>
      <c r="AC47" s="5" t="s">
        <v>15</v>
      </c>
    </row>
    <row r="48" spans="1:33" x14ac:dyDescent="0.35">
      <c r="A48" t="s">
        <v>17</v>
      </c>
      <c r="B48" s="13" t="s">
        <v>95</v>
      </c>
      <c r="C48" s="25">
        <v>1.1669</v>
      </c>
      <c r="D48" s="25">
        <v>1.2078</v>
      </c>
      <c r="E48" s="26">
        <v>1.169</v>
      </c>
      <c r="F48" t="s">
        <v>17</v>
      </c>
      <c r="G48" s="13" t="s">
        <v>96</v>
      </c>
      <c r="H48" s="25">
        <v>1.1754</v>
      </c>
      <c r="I48" s="26">
        <v>1.2031000000000001</v>
      </c>
      <c r="K48" t="s">
        <v>17</v>
      </c>
      <c r="L48" s="9" t="s">
        <v>97</v>
      </c>
      <c r="M48" s="19">
        <v>1.1701999999999999</v>
      </c>
      <c r="N48" s="19">
        <v>1.224</v>
      </c>
      <c r="O48" s="20">
        <v>1.1734</v>
      </c>
      <c r="P48" t="s">
        <v>17</v>
      </c>
      <c r="Q48" s="9" t="s">
        <v>98</v>
      </c>
      <c r="R48" s="19">
        <v>1.1762999999999999</v>
      </c>
      <c r="S48" s="20">
        <v>1.2301</v>
      </c>
      <c r="U48" t="s">
        <v>17</v>
      </c>
      <c r="V48" s="9" t="s">
        <v>99</v>
      </c>
      <c r="W48" s="19">
        <v>1.173</v>
      </c>
      <c r="X48" s="19">
        <v>1.2330000000000001</v>
      </c>
      <c r="Y48" s="20">
        <v>1.1657</v>
      </c>
      <c r="Z48" t="s">
        <v>17</v>
      </c>
      <c r="AA48" s="9" t="s">
        <v>100</v>
      </c>
      <c r="AB48" s="19">
        <v>1.1716</v>
      </c>
      <c r="AC48" s="20">
        <v>1.2503</v>
      </c>
      <c r="AG48" s="107"/>
    </row>
    <row r="49" spans="1:33" x14ac:dyDescent="0.35">
      <c r="A49" t="s">
        <v>24</v>
      </c>
      <c r="B49" s="10" t="s">
        <v>95</v>
      </c>
      <c r="C49" s="21">
        <v>1.1728000000000001</v>
      </c>
      <c r="D49" s="21">
        <v>1.1952</v>
      </c>
      <c r="E49" s="22">
        <v>1.1740999999999999</v>
      </c>
      <c r="F49" t="s">
        <v>24</v>
      </c>
      <c r="G49" s="10" t="s">
        <v>96</v>
      </c>
      <c r="H49" s="21">
        <v>1.1757</v>
      </c>
      <c r="I49" s="22">
        <v>1.198</v>
      </c>
      <c r="K49" t="s">
        <v>24</v>
      </c>
      <c r="L49" s="10" t="s">
        <v>97</v>
      </c>
      <c r="M49" s="21">
        <v>1.1669</v>
      </c>
      <c r="N49" s="21">
        <v>1.2031000000000001</v>
      </c>
      <c r="O49" s="22">
        <v>1.1702999999999999</v>
      </c>
      <c r="P49" t="s">
        <v>24</v>
      </c>
      <c r="Q49" s="10" t="s">
        <v>98</v>
      </c>
      <c r="R49" s="21">
        <v>1.1633</v>
      </c>
      <c r="S49" s="22">
        <v>1.2257</v>
      </c>
      <c r="U49" t="s">
        <v>24</v>
      </c>
      <c r="V49" s="10" t="s">
        <v>99</v>
      </c>
      <c r="W49" s="21">
        <v>1.1625000000000001</v>
      </c>
      <c r="X49" s="21">
        <v>1.2281</v>
      </c>
      <c r="Y49" s="22">
        <v>1.177</v>
      </c>
      <c r="Z49" t="s">
        <v>24</v>
      </c>
      <c r="AA49" s="13" t="s">
        <v>100</v>
      </c>
      <c r="AB49" s="21">
        <v>1.1754</v>
      </c>
      <c r="AC49" s="22">
        <v>1.248</v>
      </c>
      <c r="AG49" s="107"/>
    </row>
    <row r="50" spans="1:33" x14ac:dyDescent="0.35">
      <c r="A50" t="s">
        <v>24</v>
      </c>
      <c r="B50" s="10" t="s">
        <v>95</v>
      </c>
      <c r="C50" s="21">
        <v>1.1740999999999999</v>
      </c>
      <c r="D50" s="21">
        <v>1.1961999999999999</v>
      </c>
      <c r="E50" s="22">
        <v>1.1754</v>
      </c>
      <c r="F50" t="s">
        <v>24</v>
      </c>
      <c r="G50" s="10" t="s">
        <v>96</v>
      </c>
      <c r="H50" s="21">
        <v>1.1758999999999999</v>
      </c>
      <c r="I50" s="22">
        <v>1.2077</v>
      </c>
      <c r="K50" t="s">
        <v>24</v>
      </c>
      <c r="L50" s="13" t="s">
        <v>97</v>
      </c>
      <c r="M50" s="21">
        <v>1.1702999999999999</v>
      </c>
      <c r="N50" s="21">
        <v>1.2215</v>
      </c>
      <c r="O50" s="22">
        <v>1.1740999999999999</v>
      </c>
      <c r="P50" t="s">
        <v>24</v>
      </c>
      <c r="Q50" s="13" t="s">
        <v>98</v>
      </c>
      <c r="R50" s="21">
        <v>1.1866000000000001</v>
      </c>
      <c r="S50" s="22">
        <v>1.2505999999999999</v>
      </c>
      <c r="U50" t="s">
        <v>24</v>
      </c>
      <c r="V50" s="10" t="s">
        <v>99</v>
      </c>
      <c r="W50" s="21">
        <v>1.1732</v>
      </c>
      <c r="X50" s="21">
        <v>1.2310000000000001</v>
      </c>
      <c r="Y50" s="22">
        <v>1.1728000000000001</v>
      </c>
      <c r="Z50" t="s">
        <v>24</v>
      </c>
      <c r="AA50" s="13" t="s">
        <v>100</v>
      </c>
      <c r="AB50" s="21">
        <v>1.1728000000000001</v>
      </c>
      <c r="AC50" s="22">
        <v>1.2263999999999999</v>
      </c>
      <c r="AG50" s="107"/>
    </row>
    <row r="51" spans="1:33" x14ac:dyDescent="0.35">
      <c r="A51" t="s">
        <v>24</v>
      </c>
      <c r="B51" s="10" t="s">
        <v>95</v>
      </c>
      <c r="C51" s="21">
        <v>1.1664000000000001</v>
      </c>
      <c r="D51" s="21">
        <v>1.1868000000000001</v>
      </c>
      <c r="E51" s="22">
        <v>1.1675</v>
      </c>
      <c r="F51" t="s">
        <v>24</v>
      </c>
      <c r="G51" s="10" t="s">
        <v>96</v>
      </c>
      <c r="H51" s="21">
        <v>1.171</v>
      </c>
      <c r="I51" s="22">
        <v>1.2188000000000001</v>
      </c>
      <c r="K51" t="s">
        <v>24</v>
      </c>
      <c r="L51" s="10" t="s">
        <v>97</v>
      </c>
      <c r="M51" s="21">
        <v>1.1754</v>
      </c>
      <c r="N51" s="21">
        <v>1.2245999999999999</v>
      </c>
      <c r="O51" s="22">
        <v>1.1782999999999999</v>
      </c>
      <c r="P51" t="s">
        <v>24</v>
      </c>
      <c r="Q51" s="10" t="s">
        <v>98</v>
      </c>
      <c r="R51" s="21">
        <v>1.1599999999999999</v>
      </c>
      <c r="S51" s="22">
        <v>1.2067000000000001</v>
      </c>
      <c r="U51" t="s">
        <v>24</v>
      </c>
      <c r="V51" s="10" t="s">
        <v>99</v>
      </c>
      <c r="W51" s="21">
        <v>1.1680999999999999</v>
      </c>
      <c r="X51" s="21">
        <v>1.2387999999999999</v>
      </c>
      <c r="Y51" s="22">
        <v>1.1694</v>
      </c>
      <c r="Z51" t="s">
        <v>24</v>
      </c>
      <c r="AA51" s="13" t="s">
        <v>100</v>
      </c>
      <c r="AB51" s="21">
        <v>1.1802999999999999</v>
      </c>
      <c r="AC51" s="22">
        <v>1.2528999999999999</v>
      </c>
      <c r="AG51" s="107"/>
    </row>
    <row r="52" spans="1:33" ht="15" thickBot="1" x14ac:dyDescent="0.4">
      <c r="A52" t="s">
        <v>24</v>
      </c>
      <c r="B52" s="11" t="s">
        <v>95</v>
      </c>
      <c r="C52" s="23">
        <v>1.1607000000000001</v>
      </c>
      <c r="D52" s="23">
        <v>1.1902999999999999</v>
      </c>
      <c r="E52" s="24">
        <v>1.1621999999999999</v>
      </c>
      <c r="F52" t="s">
        <v>24</v>
      </c>
      <c r="G52" s="11" t="s">
        <v>96</v>
      </c>
      <c r="H52" s="23">
        <v>1.165</v>
      </c>
      <c r="I52" s="24">
        <v>1.2058</v>
      </c>
      <c r="K52" t="s">
        <v>24</v>
      </c>
      <c r="L52" s="14" t="s">
        <v>97</v>
      </c>
      <c r="M52" s="23">
        <v>1.1733</v>
      </c>
      <c r="N52" s="23">
        <v>1.2443</v>
      </c>
      <c r="O52" s="24">
        <v>1.1778</v>
      </c>
      <c r="P52" t="s">
        <v>24</v>
      </c>
      <c r="Q52" s="14" t="s">
        <v>98</v>
      </c>
      <c r="R52" s="23">
        <v>1.1752</v>
      </c>
      <c r="S52" s="24">
        <v>1.2396</v>
      </c>
      <c r="U52" t="s">
        <v>24</v>
      </c>
      <c r="V52" s="11" t="s">
        <v>99</v>
      </c>
      <c r="W52" s="23">
        <v>1.1666000000000001</v>
      </c>
      <c r="X52" s="23">
        <v>1.2144999999999999</v>
      </c>
      <c r="Y52" s="24">
        <v>1.175</v>
      </c>
      <c r="Z52" t="s">
        <v>24</v>
      </c>
      <c r="AA52" s="14" t="s">
        <v>100</v>
      </c>
      <c r="AB52" s="23">
        <v>1.1759999999999999</v>
      </c>
      <c r="AC52" s="24">
        <v>1.2289000000000001</v>
      </c>
      <c r="AG52" s="107"/>
    </row>
  </sheetData>
  <mergeCells count="7">
    <mergeCell ref="D2:F2"/>
    <mergeCell ref="B13:C13"/>
    <mergeCell ref="L13:M13"/>
    <mergeCell ref="V13:W13"/>
    <mergeCell ref="AF13:AG13"/>
    <mergeCell ref="B4:C4"/>
    <mergeCell ref="D4:E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C14A7-A861-43F4-9657-57D5895FC01C}">
  <dimension ref="A1:S127"/>
  <sheetViews>
    <sheetView zoomScale="70" zoomScaleNormal="70" workbookViewId="0">
      <selection activeCell="U30" sqref="U30"/>
    </sheetView>
  </sheetViews>
  <sheetFormatPr baseColWidth="10" defaultRowHeight="14.5" x14ac:dyDescent="0.35"/>
  <cols>
    <col min="9" max="9" width="11.26953125" customWidth="1"/>
    <col min="10" max="10" width="11.453125" customWidth="1"/>
    <col min="11" max="11" width="11.90625" customWidth="1"/>
    <col min="14" max="14" width="11.6328125" customWidth="1"/>
    <col min="15" max="15" width="12.1796875" customWidth="1"/>
  </cols>
  <sheetData>
    <row r="1" spans="1:19" ht="28.5" x14ac:dyDescent="0.65">
      <c r="A1" s="116" t="s">
        <v>557</v>
      </c>
    </row>
    <row r="3" spans="1:19" ht="15" thickBot="1" x14ac:dyDescent="0.4">
      <c r="A3" s="122"/>
      <c r="B3" s="122"/>
      <c r="C3" s="122"/>
      <c r="D3" s="122"/>
      <c r="E3" s="122"/>
      <c r="F3" s="122"/>
      <c r="G3" s="122"/>
      <c r="H3" s="122"/>
      <c r="I3" s="122"/>
      <c r="J3" s="122"/>
      <c r="K3" s="122"/>
      <c r="L3" s="122"/>
      <c r="M3" s="122"/>
      <c r="N3" s="122"/>
      <c r="O3" s="122"/>
      <c r="P3" s="122"/>
      <c r="Q3" s="122"/>
    </row>
    <row r="4" spans="1:19" ht="44" thickBot="1" x14ac:dyDescent="0.4">
      <c r="A4" s="201" t="s">
        <v>432</v>
      </c>
      <c r="B4" s="202" t="s">
        <v>437</v>
      </c>
      <c r="C4" s="203" t="s">
        <v>103</v>
      </c>
      <c r="D4" s="203" t="s">
        <v>104</v>
      </c>
      <c r="E4" s="203" t="s">
        <v>1</v>
      </c>
      <c r="F4" s="203" t="s">
        <v>3</v>
      </c>
      <c r="G4" s="203" t="s">
        <v>4</v>
      </c>
      <c r="H4" s="203" t="s">
        <v>105</v>
      </c>
      <c r="I4" s="203" t="s">
        <v>118</v>
      </c>
      <c r="J4" s="203" t="s">
        <v>106</v>
      </c>
      <c r="K4" s="204" t="s">
        <v>435</v>
      </c>
      <c r="L4" s="203" t="s">
        <v>494</v>
      </c>
      <c r="M4" s="203" t="s">
        <v>495</v>
      </c>
      <c r="N4" s="203" t="s">
        <v>117</v>
      </c>
      <c r="O4" s="204" t="s">
        <v>436</v>
      </c>
      <c r="P4" s="203" t="s">
        <v>492</v>
      </c>
      <c r="Q4" s="205" t="s">
        <v>493</v>
      </c>
    </row>
    <row r="5" spans="1:19" x14ac:dyDescent="0.35">
      <c r="A5" s="198" t="s">
        <v>555</v>
      </c>
      <c r="B5" s="199"/>
      <c r="C5" s="199"/>
      <c r="D5" s="199"/>
      <c r="E5" s="199"/>
      <c r="F5" s="199"/>
      <c r="G5" s="199"/>
      <c r="H5" s="199"/>
      <c r="I5" s="199"/>
      <c r="J5" s="199"/>
      <c r="K5" s="199"/>
      <c r="L5" s="199"/>
      <c r="M5" s="199"/>
      <c r="N5" s="199"/>
      <c r="O5" s="199"/>
      <c r="P5" s="199"/>
      <c r="Q5" s="200"/>
    </row>
    <row r="6" spans="1:19" x14ac:dyDescent="0.35">
      <c r="A6" s="79">
        <v>3</v>
      </c>
      <c r="B6" s="88" t="s">
        <v>401</v>
      </c>
      <c r="C6" s="71">
        <v>20</v>
      </c>
      <c r="D6" s="71" t="s">
        <v>10</v>
      </c>
      <c r="E6" s="92">
        <v>46070</v>
      </c>
      <c r="F6" s="111" t="s">
        <v>279</v>
      </c>
      <c r="G6" s="73">
        <v>1.1702999999999999</v>
      </c>
      <c r="H6" s="73">
        <v>1.1871</v>
      </c>
      <c r="I6" s="73">
        <v>1.1717</v>
      </c>
      <c r="J6" s="94">
        <f>SUM(H6-G6)</f>
        <v>1.6800000000000148E-2</v>
      </c>
      <c r="K6" s="73">
        <f>AVERAGE(J6:J10)</f>
        <v>1.6120000000000044E-2</v>
      </c>
      <c r="L6" s="73">
        <v>1.7299999999999999E-2</v>
      </c>
      <c r="M6" s="73">
        <f>SUM(J6)</f>
        <v>1.6800000000000148E-2</v>
      </c>
      <c r="N6" s="73">
        <f>SUM(I6-G6)</f>
        <v>1.4000000000000679E-3</v>
      </c>
      <c r="O6" s="73">
        <f>AVERAGE(N6:N10)</f>
        <v>1.1200000000000099E-3</v>
      </c>
      <c r="P6" s="73">
        <v>2.3999999999999998E-3</v>
      </c>
      <c r="Q6" s="102">
        <v>2.0000000000000001E-4</v>
      </c>
    </row>
    <row r="7" spans="1:19" x14ac:dyDescent="0.35">
      <c r="A7" s="79">
        <v>3</v>
      </c>
      <c r="B7" s="88" t="s">
        <v>401</v>
      </c>
      <c r="C7" s="71">
        <v>20</v>
      </c>
      <c r="D7" s="71" t="s">
        <v>10</v>
      </c>
      <c r="E7" s="92">
        <v>46070</v>
      </c>
      <c r="F7" s="111" t="s">
        <v>280</v>
      </c>
      <c r="G7" s="73">
        <v>1.1658999999999999</v>
      </c>
      <c r="H7" s="73">
        <v>1.1825000000000001</v>
      </c>
      <c r="I7" s="73">
        <v>1.1664000000000001</v>
      </c>
      <c r="J7" s="94">
        <f t="shared" ref="J7:J15" si="0">SUM(H7-G7)</f>
        <v>1.660000000000017E-2</v>
      </c>
      <c r="K7" s="73"/>
      <c r="L7" s="73"/>
      <c r="M7" s="73"/>
      <c r="N7" s="73">
        <f>SUM(I7-G7)</f>
        <v>5.0000000000016698E-4</v>
      </c>
      <c r="O7" s="71"/>
      <c r="P7" s="71"/>
      <c r="Q7" s="103"/>
      <c r="S7" s="30"/>
    </row>
    <row r="8" spans="1:19" x14ac:dyDescent="0.35">
      <c r="A8" s="79">
        <v>3</v>
      </c>
      <c r="B8" s="88" t="s">
        <v>401</v>
      </c>
      <c r="C8" s="71">
        <v>20</v>
      </c>
      <c r="D8" s="71" t="s">
        <v>10</v>
      </c>
      <c r="E8" s="92">
        <v>46070</v>
      </c>
      <c r="F8" s="111" t="s">
        <v>281</v>
      </c>
      <c r="G8" s="73">
        <v>1.1713</v>
      </c>
      <c r="H8" s="73">
        <v>1.1863999999999999</v>
      </c>
      <c r="I8" s="73">
        <v>1.1715</v>
      </c>
      <c r="J8" s="94">
        <f t="shared" si="0"/>
        <v>1.5099999999999891E-2</v>
      </c>
      <c r="K8" s="73"/>
      <c r="L8" s="73"/>
      <c r="M8" s="73"/>
      <c r="N8" s="73">
        <f>SUM(I8-G8)</f>
        <v>1.9999999999997797E-4</v>
      </c>
      <c r="O8" s="71"/>
      <c r="P8" s="71"/>
      <c r="Q8" s="103"/>
    </row>
    <row r="9" spans="1:19" x14ac:dyDescent="0.35">
      <c r="A9" s="79">
        <v>3</v>
      </c>
      <c r="B9" s="88" t="s">
        <v>401</v>
      </c>
      <c r="C9" s="71">
        <v>20</v>
      </c>
      <c r="D9" s="71" t="s">
        <v>10</v>
      </c>
      <c r="E9" s="92">
        <v>46070</v>
      </c>
      <c r="F9" s="111" t="s">
        <v>282</v>
      </c>
      <c r="G9" s="73">
        <v>1.1767000000000001</v>
      </c>
      <c r="H9" s="73">
        <v>1.1915</v>
      </c>
      <c r="I9" s="73">
        <v>1.1778</v>
      </c>
      <c r="J9" s="94">
        <f t="shared" si="0"/>
        <v>1.4799999999999924E-2</v>
      </c>
      <c r="K9" s="73"/>
      <c r="L9" s="73"/>
      <c r="M9" s="73"/>
      <c r="N9" s="73">
        <f>SUM(I9-G9)</f>
        <v>1.0999999999998789E-3</v>
      </c>
      <c r="O9" s="71"/>
      <c r="P9" s="71"/>
      <c r="Q9" s="103"/>
    </row>
    <row r="10" spans="1:19" x14ac:dyDescent="0.35">
      <c r="A10" s="79">
        <v>3</v>
      </c>
      <c r="B10" s="88" t="s">
        <v>401</v>
      </c>
      <c r="C10" s="71">
        <v>20</v>
      </c>
      <c r="D10" s="71" t="s">
        <v>10</v>
      </c>
      <c r="E10" s="92">
        <v>46070</v>
      </c>
      <c r="F10" s="111" t="s">
        <v>283</v>
      </c>
      <c r="G10" s="73">
        <v>1.1756</v>
      </c>
      <c r="H10" s="73">
        <v>1.1929000000000001</v>
      </c>
      <c r="I10" s="73">
        <v>1.1779999999999999</v>
      </c>
      <c r="J10" s="94">
        <f t="shared" si="0"/>
        <v>1.7300000000000093E-2</v>
      </c>
      <c r="K10" s="73"/>
      <c r="L10" s="73"/>
      <c r="M10" s="73"/>
      <c r="N10" s="73">
        <f>SUM(I10-G10)</f>
        <v>2.3999999999999577E-3</v>
      </c>
      <c r="O10" s="71"/>
      <c r="P10" s="71"/>
      <c r="Q10" s="103"/>
    </row>
    <row r="11" spans="1:19" x14ac:dyDescent="0.35">
      <c r="A11" s="10">
        <v>3</v>
      </c>
      <c r="B11" s="90" t="s">
        <v>401</v>
      </c>
      <c r="C11" s="74">
        <v>20</v>
      </c>
      <c r="D11" s="74" t="s">
        <v>11</v>
      </c>
      <c r="E11" s="93">
        <v>46070</v>
      </c>
      <c r="F11" s="112" t="s">
        <v>285</v>
      </c>
      <c r="G11" s="21">
        <v>1.1712</v>
      </c>
      <c r="H11" s="21">
        <v>1.1863999999999999</v>
      </c>
      <c r="I11" s="21"/>
      <c r="J11" s="98">
        <f t="shared" si="0"/>
        <v>1.519999999999988E-2</v>
      </c>
      <c r="K11" s="21">
        <f>AVERAGE(J11:J15)</f>
        <v>2.183999999999995E-2</v>
      </c>
      <c r="L11" s="21">
        <f>SUM(J13)</f>
        <v>3.069999999999995E-2</v>
      </c>
      <c r="M11" s="21">
        <f>SUM(J11)</f>
        <v>1.519999999999988E-2</v>
      </c>
      <c r="N11" s="74"/>
      <c r="O11" s="74"/>
      <c r="P11" s="74"/>
      <c r="Q11" s="104"/>
    </row>
    <row r="12" spans="1:19" x14ac:dyDescent="0.35">
      <c r="A12" s="10">
        <v>3</v>
      </c>
      <c r="B12" s="90" t="s">
        <v>401</v>
      </c>
      <c r="C12" s="74">
        <v>20</v>
      </c>
      <c r="D12" s="74" t="s">
        <v>11</v>
      </c>
      <c r="E12" s="93">
        <v>46070</v>
      </c>
      <c r="F12" s="112" t="s">
        <v>284</v>
      </c>
      <c r="G12" s="21">
        <v>1.1727000000000001</v>
      </c>
      <c r="H12" s="21">
        <v>1.1889000000000001</v>
      </c>
      <c r="I12" s="21"/>
      <c r="J12" s="98">
        <f t="shared" si="0"/>
        <v>1.6199999999999992E-2</v>
      </c>
      <c r="K12" s="21"/>
      <c r="L12" s="21"/>
      <c r="M12" s="21"/>
      <c r="N12" s="74"/>
      <c r="O12" s="74"/>
      <c r="P12" s="74"/>
      <c r="Q12" s="104"/>
    </row>
    <row r="13" spans="1:19" x14ac:dyDescent="0.35">
      <c r="A13" s="10">
        <v>3</v>
      </c>
      <c r="B13" s="90" t="s">
        <v>401</v>
      </c>
      <c r="C13" s="74">
        <v>20</v>
      </c>
      <c r="D13" s="74" t="s">
        <v>11</v>
      </c>
      <c r="E13" s="93">
        <v>46070</v>
      </c>
      <c r="F13" s="112" t="s">
        <v>286</v>
      </c>
      <c r="G13" s="21">
        <v>1.1726000000000001</v>
      </c>
      <c r="H13" s="21">
        <v>1.2033</v>
      </c>
      <c r="I13" s="21"/>
      <c r="J13" s="98">
        <f t="shared" si="0"/>
        <v>3.069999999999995E-2</v>
      </c>
      <c r="K13" s="21"/>
      <c r="L13" s="21"/>
      <c r="M13" s="21"/>
      <c r="N13" s="74"/>
      <c r="O13" s="74"/>
      <c r="P13" s="74"/>
      <c r="Q13" s="104"/>
    </row>
    <row r="14" spans="1:19" x14ac:dyDescent="0.35">
      <c r="A14" s="10">
        <v>3</v>
      </c>
      <c r="B14" s="90" t="s">
        <v>401</v>
      </c>
      <c r="C14" s="74">
        <v>20</v>
      </c>
      <c r="D14" s="74" t="s">
        <v>11</v>
      </c>
      <c r="E14" s="93">
        <v>46070</v>
      </c>
      <c r="F14" s="112" t="s">
        <v>287</v>
      </c>
      <c r="G14" s="21">
        <v>1.1648000000000001</v>
      </c>
      <c r="H14" s="21">
        <v>1.1818</v>
      </c>
      <c r="I14" s="21"/>
      <c r="J14" s="98">
        <f t="shared" si="0"/>
        <v>1.6999999999999904E-2</v>
      </c>
      <c r="K14" s="21"/>
      <c r="L14" s="21"/>
      <c r="M14" s="21"/>
      <c r="N14" s="74"/>
      <c r="O14" s="74"/>
      <c r="P14" s="74"/>
      <c r="Q14" s="104"/>
    </row>
    <row r="15" spans="1:19" x14ac:dyDescent="0.35">
      <c r="A15" s="10">
        <v>3</v>
      </c>
      <c r="B15" s="90" t="s">
        <v>401</v>
      </c>
      <c r="C15" s="74">
        <v>20</v>
      </c>
      <c r="D15" s="74" t="s">
        <v>11</v>
      </c>
      <c r="E15" s="93">
        <v>46070</v>
      </c>
      <c r="F15" s="112" t="s">
        <v>288</v>
      </c>
      <c r="G15" s="21">
        <v>1.1715</v>
      </c>
      <c r="H15" s="21">
        <v>1.2016</v>
      </c>
      <c r="I15" s="21"/>
      <c r="J15" s="98">
        <f t="shared" si="0"/>
        <v>3.0100000000000016E-2</v>
      </c>
      <c r="K15" s="21"/>
      <c r="L15" s="21"/>
      <c r="M15" s="21"/>
      <c r="N15" s="74"/>
      <c r="O15" s="74"/>
      <c r="P15" s="74"/>
      <c r="Q15" s="104"/>
    </row>
    <row r="16" spans="1:19" x14ac:dyDescent="0.35">
      <c r="A16" s="79">
        <v>6</v>
      </c>
      <c r="B16" s="88" t="s">
        <v>401</v>
      </c>
      <c r="C16" s="71">
        <v>20</v>
      </c>
      <c r="D16" s="71" t="s">
        <v>10</v>
      </c>
      <c r="E16" s="92">
        <v>46090</v>
      </c>
      <c r="F16" s="111" t="s">
        <v>309</v>
      </c>
      <c r="G16" s="73">
        <v>1.1711</v>
      </c>
      <c r="H16" s="73">
        <v>1.1896</v>
      </c>
      <c r="I16" s="73">
        <v>1.1704000000000001</v>
      </c>
      <c r="J16" s="94">
        <f>H16-G16</f>
        <v>1.8499999999999961E-2</v>
      </c>
      <c r="K16" s="73">
        <f>AVERAGE(J16:J20)</f>
        <v>2.1640000000000013E-2</v>
      </c>
      <c r="L16" s="73">
        <f>SUM(J18)</f>
        <v>3.4699999999999953E-2</v>
      </c>
      <c r="M16" s="73">
        <f>SUM(J20)</f>
        <v>1.7400000000000082E-2</v>
      </c>
      <c r="N16" s="73">
        <f>SUM(I16-G16)</f>
        <v>-6.9999999999992291E-4</v>
      </c>
      <c r="O16" s="73">
        <f>AVERAGE(N16:N20)</f>
        <v>2.6199999999999778E-3</v>
      </c>
      <c r="P16" s="73">
        <v>7.7999999999999996E-3</v>
      </c>
      <c r="Q16" s="102">
        <v>-8.9999999999999998E-4</v>
      </c>
    </row>
    <row r="17" spans="1:17" x14ac:dyDescent="0.35">
      <c r="A17" s="79">
        <v>6</v>
      </c>
      <c r="B17" s="88" t="s">
        <v>401</v>
      </c>
      <c r="C17" s="71">
        <v>20</v>
      </c>
      <c r="D17" s="71" t="s">
        <v>10</v>
      </c>
      <c r="E17" s="92">
        <v>46090</v>
      </c>
      <c r="F17" s="111" t="s">
        <v>311</v>
      </c>
      <c r="G17" s="73">
        <v>1.1711</v>
      </c>
      <c r="H17" s="73">
        <v>1.1910000000000001</v>
      </c>
      <c r="I17" s="73">
        <v>1.1701999999999999</v>
      </c>
      <c r="J17" s="94">
        <f t="shared" ref="J17:J25" si="1">H17-G17</f>
        <v>1.9900000000000029E-2</v>
      </c>
      <c r="K17" s="73"/>
      <c r="L17" s="73"/>
      <c r="M17" s="73"/>
      <c r="N17" s="73">
        <f>SUM(I17-G17)</f>
        <v>-9.0000000000012292E-4</v>
      </c>
      <c r="O17" s="71"/>
      <c r="P17" s="71"/>
      <c r="Q17" s="103"/>
    </row>
    <row r="18" spans="1:17" x14ac:dyDescent="0.35">
      <c r="A18" s="79">
        <v>6</v>
      </c>
      <c r="B18" s="88" t="s">
        <v>401</v>
      </c>
      <c r="C18" s="71">
        <v>20</v>
      </c>
      <c r="D18" s="71" t="s">
        <v>10</v>
      </c>
      <c r="E18" s="92">
        <v>46090</v>
      </c>
      <c r="F18" s="111" t="s">
        <v>312</v>
      </c>
      <c r="G18" s="73">
        <v>1.1708000000000001</v>
      </c>
      <c r="H18" s="73">
        <v>1.2055</v>
      </c>
      <c r="I18" s="73">
        <v>1.1732</v>
      </c>
      <c r="J18" s="94">
        <f t="shared" si="1"/>
        <v>3.4699999999999953E-2</v>
      </c>
      <c r="K18" s="73"/>
      <c r="L18" s="73"/>
      <c r="M18" s="73"/>
      <c r="N18" s="73">
        <f>SUM(I18-G18)</f>
        <v>2.3999999999999577E-3</v>
      </c>
      <c r="O18" s="71"/>
      <c r="P18" s="71"/>
      <c r="Q18" s="103"/>
    </row>
    <row r="19" spans="1:17" x14ac:dyDescent="0.35">
      <c r="A19" s="79">
        <v>6</v>
      </c>
      <c r="B19" s="88" t="s">
        <v>401</v>
      </c>
      <c r="C19" s="71">
        <v>20</v>
      </c>
      <c r="D19" s="71" t="s">
        <v>10</v>
      </c>
      <c r="E19" s="92">
        <v>46090</v>
      </c>
      <c r="F19" s="111" t="s">
        <v>313</v>
      </c>
      <c r="G19" s="73">
        <v>1.1633</v>
      </c>
      <c r="H19" s="73">
        <v>1.181</v>
      </c>
      <c r="I19" s="73">
        <v>1.1711</v>
      </c>
      <c r="J19" s="94">
        <f t="shared" si="1"/>
        <v>1.7700000000000049E-2</v>
      </c>
      <c r="K19" s="73"/>
      <c r="L19" s="73"/>
      <c r="M19" s="73"/>
      <c r="N19" s="73">
        <f>SUM(I19-G19)</f>
        <v>7.8000000000000291E-3</v>
      </c>
      <c r="O19" s="71"/>
      <c r="P19" s="71"/>
      <c r="Q19" s="103"/>
    </row>
    <row r="20" spans="1:17" x14ac:dyDescent="0.35">
      <c r="A20" s="79">
        <v>6</v>
      </c>
      <c r="B20" s="88" t="s">
        <v>401</v>
      </c>
      <c r="C20" s="71">
        <v>20</v>
      </c>
      <c r="D20" s="71" t="s">
        <v>10</v>
      </c>
      <c r="E20" s="92">
        <v>46090</v>
      </c>
      <c r="F20" s="111" t="s">
        <v>314</v>
      </c>
      <c r="G20" s="73">
        <v>1.1656</v>
      </c>
      <c r="H20" s="73">
        <v>1.1830000000000001</v>
      </c>
      <c r="I20" s="73">
        <v>1.1700999999999999</v>
      </c>
      <c r="J20" s="94">
        <f t="shared" si="1"/>
        <v>1.7400000000000082E-2</v>
      </c>
      <c r="K20" s="73"/>
      <c r="L20" s="73"/>
      <c r="M20" s="73"/>
      <c r="N20" s="73">
        <f>SUM(I20-G20)</f>
        <v>4.4999999999999485E-3</v>
      </c>
      <c r="O20" s="71"/>
      <c r="P20" s="71"/>
      <c r="Q20" s="103"/>
    </row>
    <row r="21" spans="1:17" x14ac:dyDescent="0.35">
      <c r="A21" s="83">
        <v>6</v>
      </c>
      <c r="B21" s="90" t="s">
        <v>401</v>
      </c>
      <c r="C21" s="77">
        <v>20</v>
      </c>
      <c r="D21" s="77" t="s">
        <v>11</v>
      </c>
      <c r="E21" s="96">
        <v>46090</v>
      </c>
      <c r="F21" s="112" t="s">
        <v>310</v>
      </c>
      <c r="G21" s="21">
        <v>1.1633</v>
      </c>
      <c r="H21" s="21">
        <v>1.2002999999999999</v>
      </c>
      <c r="I21" s="77"/>
      <c r="J21" s="98">
        <f t="shared" si="1"/>
        <v>3.6999999999999922E-2</v>
      </c>
      <c r="K21" s="76">
        <f>AVERAGE(J21:J25)</f>
        <v>3.631999999999995E-2</v>
      </c>
      <c r="L21" s="21">
        <f>SUM(J24)</f>
        <v>5.0699999999999967E-2</v>
      </c>
      <c r="M21" s="21">
        <f>SUM(J22)</f>
        <v>1.9700000000000051E-2</v>
      </c>
      <c r="N21" s="74"/>
      <c r="O21" s="74"/>
      <c r="P21" s="74"/>
      <c r="Q21" s="104"/>
    </row>
    <row r="22" spans="1:17" x14ac:dyDescent="0.35">
      <c r="A22" s="83">
        <v>6</v>
      </c>
      <c r="B22" s="90" t="s">
        <v>401</v>
      </c>
      <c r="C22" s="77">
        <v>20</v>
      </c>
      <c r="D22" s="77" t="s">
        <v>11</v>
      </c>
      <c r="E22" s="96">
        <v>46090</v>
      </c>
      <c r="F22" s="112" t="s">
        <v>315</v>
      </c>
      <c r="G22" s="21">
        <v>1.171</v>
      </c>
      <c r="H22" s="21">
        <v>1.1907000000000001</v>
      </c>
      <c r="I22" s="77"/>
      <c r="J22" s="98">
        <f t="shared" si="1"/>
        <v>1.9700000000000051E-2</v>
      </c>
      <c r="K22" s="77"/>
      <c r="L22" s="21"/>
      <c r="M22" s="21"/>
      <c r="N22" s="74"/>
      <c r="O22" s="74"/>
      <c r="P22" s="74"/>
      <c r="Q22" s="104"/>
    </row>
    <row r="23" spans="1:17" x14ac:dyDescent="0.35">
      <c r="A23" s="83">
        <v>6</v>
      </c>
      <c r="B23" s="90" t="s">
        <v>401</v>
      </c>
      <c r="C23" s="77">
        <v>20</v>
      </c>
      <c r="D23" s="77" t="s">
        <v>11</v>
      </c>
      <c r="E23" s="96">
        <v>46090</v>
      </c>
      <c r="F23" s="112" t="s">
        <v>316</v>
      </c>
      <c r="G23" s="21">
        <v>1.1717</v>
      </c>
      <c r="H23" s="21">
        <v>1.2204999999999999</v>
      </c>
      <c r="I23" s="77"/>
      <c r="J23" s="98">
        <f t="shared" si="1"/>
        <v>4.8799999999999955E-2</v>
      </c>
      <c r="K23" s="77"/>
      <c r="L23" s="21"/>
      <c r="M23" s="21"/>
      <c r="N23" s="74"/>
      <c r="O23" s="74"/>
      <c r="P23" s="74"/>
      <c r="Q23" s="104"/>
    </row>
    <row r="24" spans="1:17" x14ac:dyDescent="0.35">
      <c r="A24" s="83">
        <v>6</v>
      </c>
      <c r="B24" s="90" t="s">
        <v>401</v>
      </c>
      <c r="C24" s="77">
        <v>20</v>
      </c>
      <c r="D24" s="77" t="s">
        <v>11</v>
      </c>
      <c r="E24" s="96">
        <v>46090</v>
      </c>
      <c r="F24" s="112" t="s">
        <v>317</v>
      </c>
      <c r="G24" s="21">
        <v>1.1625000000000001</v>
      </c>
      <c r="H24" s="21">
        <v>1.2132000000000001</v>
      </c>
      <c r="I24" s="77"/>
      <c r="J24" s="98">
        <f t="shared" si="1"/>
        <v>5.0699999999999967E-2</v>
      </c>
      <c r="K24" s="77"/>
      <c r="L24" s="21"/>
      <c r="M24" s="21"/>
      <c r="N24" s="74"/>
      <c r="O24" s="74"/>
      <c r="P24" s="74"/>
      <c r="Q24" s="104"/>
    </row>
    <row r="25" spans="1:17" x14ac:dyDescent="0.35">
      <c r="A25" s="83">
        <v>6</v>
      </c>
      <c r="B25" s="90" t="s">
        <v>401</v>
      </c>
      <c r="C25" s="77">
        <v>20</v>
      </c>
      <c r="D25" s="77" t="s">
        <v>11</v>
      </c>
      <c r="E25" s="96">
        <v>46090</v>
      </c>
      <c r="F25" s="112" t="s">
        <v>318</v>
      </c>
      <c r="G25" s="21">
        <v>1.1647000000000001</v>
      </c>
      <c r="H25" s="21">
        <v>1.1900999999999999</v>
      </c>
      <c r="I25" s="77"/>
      <c r="J25" s="98">
        <f t="shared" si="1"/>
        <v>2.5399999999999867E-2</v>
      </c>
      <c r="K25" s="77"/>
      <c r="L25" s="21"/>
      <c r="M25" s="21"/>
      <c r="N25" s="74"/>
      <c r="O25" s="74"/>
      <c r="P25" s="74"/>
      <c r="Q25" s="104"/>
    </row>
    <row r="26" spans="1:17" x14ac:dyDescent="0.35">
      <c r="A26" s="79">
        <v>9</v>
      </c>
      <c r="B26" s="88" t="s">
        <v>401</v>
      </c>
      <c r="C26" s="71">
        <v>20</v>
      </c>
      <c r="D26" s="71" t="s">
        <v>10</v>
      </c>
      <c r="E26" s="92">
        <v>46111</v>
      </c>
      <c r="F26" s="111" t="s">
        <v>339</v>
      </c>
      <c r="G26" s="73">
        <v>1.1694</v>
      </c>
      <c r="H26" s="73">
        <v>1.2084999999999999</v>
      </c>
      <c r="I26" s="73">
        <v>1.1698</v>
      </c>
      <c r="J26" s="94">
        <f>H26-G26</f>
        <v>3.9099999999999913E-2</v>
      </c>
      <c r="K26" s="73">
        <f>AVERAGE(J26:J30)</f>
        <v>2.7200000000000023E-2</v>
      </c>
      <c r="L26" s="73">
        <f>SUM(J26)</f>
        <v>3.9099999999999913E-2</v>
      </c>
      <c r="M26" s="73">
        <f>SUM(J29)</f>
        <v>2.0699999999999941E-2</v>
      </c>
      <c r="N26" s="73">
        <f>SUM(I26-G26)</f>
        <v>3.9999999999995595E-4</v>
      </c>
      <c r="O26" s="73">
        <f>AVERAGE(N26:N30)</f>
        <v>2.0000000000042208E-5</v>
      </c>
      <c r="P26" s="73">
        <v>7.3000000000000001E-3</v>
      </c>
      <c r="Q26" s="102">
        <v>-5.7000000000000002E-3</v>
      </c>
    </row>
    <row r="27" spans="1:17" x14ac:dyDescent="0.35">
      <c r="A27" s="79">
        <v>9</v>
      </c>
      <c r="B27" s="88" t="s">
        <v>401</v>
      </c>
      <c r="C27" s="71">
        <v>20</v>
      </c>
      <c r="D27" s="71" t="s">
        <v>10</v>
      </c>
      <c r="E27" s="92">
        <v>46111</v>
      </c>
      <c r="F27" s="111" t="s">
        <v>341</v>
      </c>
      <c r="G27" s="73">
        <v>1.17</v>
      </c>
      <c r="H27" s="73">
        <v>1.1988000000000001</v>
      </c>
      <c r="I27" s="73">
        <v>1.1706000000000001</v>
      </c>
      <c r="J27" s="94">
        <f t="shared" ref="J27:J35" si="2">H27-G27</f>
        <v>2.8800000000000159E-2</v>
      </c>
      <c r="K27" s="73"/>
      <c r="L27" s="73"/>
      <c r="M27" s="73"/>
      <c r="N27" s="73">
        <f>SUM(I27-G27)</f>
        <v>6.0000000000015596E-4</v>
      </c>
      <c r="O27" s="71"/>
      <c r="P27" s="71"/>
      <c r="Q27" s="103"/>
    </row>
    <row r="28" spans="1:17" x14ac:dyDescent="0.35">
      <c r="A28" s="79">
        <v>9</v>
      </c>
      <c r="B28" s="88" t="s">
        <v>401</v>
      </c>
      <c r="C28" s="71">
        <v>20</v>
      </c>
      <c r="D28" s="71" t="s">
        <v>10</v>
      </c>
      <c r="E28" s="92">
        <v>46111</v>
      </c>
      <c r="F28" s="111" t="s">
        <v>342</v>
      </c>
      <c r="G28" s="73">
        <v>1.1661999999999999</v>
      </c>
      <c r="H28" s="73">
        <v>1.1894</v>
      </c>
      <c r="I28" s="73">
        <v>1.1735</v>
      </c>
      <c r="J28" s="94">
        <f t="shared" si="2"/>
        <v>2.3200000000000109E-2</v>
      </c>
      <c r="K28" s="73"/>
      <c r="L28" s="73"/>
      <c r="M28" s="73"/>
      <c r="N28" s="73">
        <f>SUM(I28-G28)</f>
        <v>7.3000000000000842E-3</v>
      </c>
      <c r="O28" s="71"/>
      <c r="P28" s="71"/>
      <c r="Q28" s="103"/>
    </row>
    <row r="29" spans="1:17" x14ac:dyDescent="0.35">
      <c r="A29" s="79">
        <v>9</v>
      </c>
      <c r="B29" s="88" t="s">
        <v>401</v>
      </c>
      <c r="C29" s="71">
        <v>20</v>
      </c>
      <c r="D29" s="71" t="s">
        <v>10</v>
      </c>
      <c r="E29" s="92">
        <v>46111</v>
      </c>
      <c r="F29" s="111" t="s">
        <v>343</v>
      </c>
      <c r="G29" s="73">
        <v>1.1795</v>
      </c>
      <c r="H29" s="73">
        <v>1.2001999999999999</v>
      </c>
      <c r="I29" s="73">
        <v>1.1738</v>
      </c>
      <c r="J29" s="94">
        <f t="shared" si="2"/>
        <v>2.0699999999999941E-2</v>
      </c>
      <c r="K29" s="73"/>
      <c r="L29" s="73"/>
      <c r="M29" s="73"/>
      <c r="N29" s="73">
        <f>SUM(I29-G29)</f>
        <v>-5.7000000000000384E-3</v>
      </c>
      <c r="O29" s="71"/>
      <c r="P29" s="71"/>
      <c r="Q29" s="103"/>
    </row>
    <row r="30" spans="1:17" x14ac:dyDescent="0.35">
      <c r="A30" s="79">
        <v>9</v>
      </c>
      <c r="B30" s="88" t="s">
        <v>401</v>
      </c>
      <c r="C30" s="71">
        <v>20</v>
      </c>
      <c r="D30" s="71" t="s">
        <v>10</v>
      </c>
      <c r="E30" s="92">
        <v>46111</v>
      </c>
      <c r="F30" s="111" t="s">
        <v>344</v>
      </c>
      <c r="G30" s="73">
        <v>1.1733</v>
      </c>
      <c r="H30" s="73">
        <v>1.1975</v>
      </c>
      <c r="I30" s="73">
        <v>1.1708000000000001</v>
      </c>
      <c r="J30" s="94">
        <f t="shared" si="2"/>
        <v>2.4199999999999999E-2</v>
      </c>
      <c r="K30" s="73"/>
      <c r="L30" s="73"/>
      <c r="M30" s="73"/>
      <c r="N30" s="73">
        <f>SUM(I30-G30)</f>
        <v>-2.4999999999999467E-3</v>
      </c>
      <c r="O30" s="71"/>
      <c r="P30" s="71"/>
      <c r="Q30" s="103"/>
    </row>
    <row r="31" spans="1:17" x14ac:dyDescent="0.35">
      <c r="A31" s="83">
        <v>9</v>
      </c>
      <c r="B31" s="90" t="s">
        <v>401</v>
      </c>
      <c r="C31" s="74">
        <v>20</v>
      </c>
      <c r="D31" s="74" t="s">
        <v>11</v>
      </c>
      <c r="E31" s="93">
        <v>46111</v>
      </c>
      <c r="F31" s="112" t="s">
        <v>340</v>
      </c>
      <c r="G31" s="21">
        <v>1.1599999999999999</v>
      </c>
      <c r="H31" s="21">
        <v>1.2253000000000001</v>
      </c>
      <c r="I31" s="74"/>
      <c r="J31" s="95">
        <f t="shared" si="2"/>
        <v>6.5300000000000136E-2</v>
      </c>
      <c r="K31" s="21">
        <f>AVERAGE(J31:J35)</f>
        <v>3.5440000000000006E-2</v>
      </c>
      <c r="L31" s="21">
        <f>SUM(J31)</f>
        <v>6.5300000000000136E-2</v>
      </c>
      <c r="M31" s="21">
        <f>SUM(J35)</f>
        <v>1.6199999999999992E-2</v>
      </c>
      <c r="N31" s="74"/>
      <c r="O31" s="74"/>
      <c r="P31" s="74"/>
      <c r="Q31" s="104"/>
    </row>
    <row r="32" spans="1:17" x14ac:dyDescent="0.35">
      <c r="A32" s="83">
        <v>9</v>
      </c>
      <c r="B32" s="90" t="s">
        <v>401</v>
      </c>
      <c r="C32" s="74">
        <v>20</v>
      </c>
      <c r="D32" s="74" t="s">
        <v>11</v>
      </c>
      <c r="E32" s="93">
        <v>46111</v>
      </c>
      <c r="F32" s="112" t="s">
        <v>345</v>
      </c>
      <c r="G32" s="21">
        <v>1.161</v>
      </c>
      <c r="H32" s="21">
        <v>1.2018</v>
      </c>
      <c r="I32" s="74"/>
      <c r="J32" s="95">
        <f t="shared" si="2"/>
        <v>4.0799999999999947E-2</v>
      </c>
      <c r="K32" s="74"/>
      <c r="L32" s="21"/>
      <c r="M32" s="21"/>
      <c r="N32" s="74"/>
      <c r="O32" s="74"/>
      <c r="P32" s="74"/>
      <c r="Q32" s="104"/>
    </row>
    <row r="33" spans="1:17" x14ac:dyDescent="0.35">
      <c r="A33" s="83">
        <v>9</v>
      </c>
      <c r="B33" s="90" t="s">
        <v>401</v>
      </c>
      <c r="C33" s="74">
        <v>20</v>
      </c>
      <c r="D33" s="74" t="s">
        <v>11</v>
      </c>
      <c r="E33" s="93">
        <v>46111</v>
      </c>
      <c r="F33" s="112" t="s">
        <v>346</v>
      </c>
      <c r="G33" s="21">
        <v>1.167</v>
      </c>
      <c r="H33" s="21">
        <v>1.1852</v>
      </c>
      <c r="I33" s="74"/>
      <c r="J33" s="95">
        <f t="shared" si="2"/>
        <v>1.8199999999999994E-2</v>
      </c>
      <c r="K33" s="74"/>
      <c r="L33" s="21"/>
      <c r="M33" s="21"/>
      <c r="N33" s="74"/>
      <c r="O33" s="74"/>
      <c r="P33" s="74"/>
      <c r="Q33" s="104"/>
    </row>
    <row r="34" spans="1:17" x14ac:dyDescent="0.35">
      <c r="A34" s="83">
        <v>9</v>
      </c>
      <c r="B34" s="90" t="s">
        <v>401</v>
      </c>
      <c r="C34" s="74">
        <v>20</v>
      </c>
      <c r="D34" s="74" t="s">
        <v>11</v>
      </c>
      <c r="E34" s="93">
        <v>46111</v>
      </c>
      <c r="F34" s="112" t="s">
        <v>347</v>
      </c>
      <c r="G34" s="21">
        <v>1.1834</v>
      </c>
      <c r="H34" s="21">
        <v>1.2201</v>
      </c>
      <c r="I34" s="74"/>
      <c r="J34" s="95">
        <f t="shared" si="2"/>
        <v>3.6699999999999955E-2</v>
      </c>
      <c r="K34" s="74"/>
      <c r="L34" s="21"/>
      <c r="M34" s="21"/>
      <c r="N34" s="74"/>
      <c r="O34" s="74"/>
      <c r="P34" s="74"/>
      <c r="Q34" s="104"/>
    </row>
    <row r="35" spans="1:17" x14ac:dyDescent="0.35">
      <c r="A35" s="83">
        <v>9</v>
      </c>
      <c r="B35" s="90" t="s">
        <v>401</v>
      </c>
      <c r="C35" s="74">
        <v>20</v>
      </c>
      <c r="D35" s="74" t="s">
        <v>11</v>
      </c>
      <c r="E35" s="93">
        <v>46111</v>
      </c>
      <c r="F35" s="112" t="s">
        <v>348</v>
      </c>
      <c r="G35" s="21">
        <v>1.1741999999999999</v>
      </c>
      <c r="H35" s="21">
        <v>1.1903999999999999</v>
      </c>
      <c r="I35" s="74"/>
      <c r="J35" s="95">
        <f t="shared" si="2"/>
        <v>1.6199999999999992E-2</v>
      </c>
      <c r="K35" s="74"/>
      <c r="L35" s="21"/>
      <c r="M35" s="21"/>
      <c r="N35" s="74"/>
      <c r="O35" s="74"/>
      <c r="P35" s="74"/>
      <c r="Q35" s="104"/>
    </row>
    <row r="36" spans="1:17" x14ac:dyDescent="0.35">
      <c r="A36" s="79">
        <v>12</v>
      </c>
      <c r="B36" s="88" t="s">
        <v>401</v>
      </c>
      <c r="C36" s="71">
        <v>20</v>
      </c>
      <c r="D36" s="71" t="s">
        <v>10</v>
      </c>
      <c r="E36" s="92">
        <v>46133</v>
      </c>
      <c r="F36" s="111" t="s">
        <v>448</v>
      </c>
      <c r="G36" s="73">
        <v>1.1669</v>
      </c>
      <c r="H36" s="73">
        <v>1.2078</v>
      </c>
      <c r="I36" s="73">
        <v>1.169</v>
      </c>
      <c r="J36" s="94">
        <f>SUM(H36-G36)</f>
        <v>4.0899999999999936E-2</v>
      </c>
      <c r="K36" s="73">
        <f>AVERAGE(J36:J40)</f>
        <v>2.7079999999999948E-2</v>
      </c>
      <c r="L36" s="73">
        <f>SUM(J36)</f>
        <v>4.0899999999999936E-2</v>
      </c>
      <c r="M36" s="73">
        <f>SUM(J39)</f>
        <v>2.0399999999999974E-2</v>
      </c>
      <c r="N36" s="73">
        <f>SUM(I36-G36)</f>
        <v>2.0999999999999908E-3</v>
      </c>
      <c r="O36" s="73">
        <f>AVERAGE(N36:N40)</f>
        <v>1.4599999999999279E-3</v>
      </c>
      <c r="P36" s="73">
        <v>2.0999999999999999E-3</v>
      </c>
      <c r="Q36" s="102">
        <v>1.1000000000000001E-3</v>
      </c>
    </row>
    <row r="37" spans="1:17" x14ac:dyDescent="0.35">
      <c r="A37" s="79">
        <v>12</v>
      </c>
      <c r="B37" s="88" t="s">
        <v>401</v>
      </c>
      <c r="C37" s="71">
        <v>20</v>
      </c>
      <c r="D37" s="71" t="s">
        <v>10</v>
      </c>
      <c r="E37" s="92">
        <v>46133</v>
      </c>
      <c r="F37" s="111" t="s">
        <v>449</v>
      </c>
      <c r="G37" s="73">
        <v>1.1728000000000001</v>
      </c>
      <c r="H37" s="73">
        <v>1.1952</v>
      </c>
      <c r="I37" s="73">
        <v>1.1740999999999999</v>
      </c>
      <c r="J37" s="94">
        <f t="shared" ref="J37:J45" si="3">SUM(H37-G37)</f>
        <v>2.2399999999999975E-2</v>
      </c>
      <c r="K37" s="71"/>
      <c r="L37" s="71"/>
      <c r="M37" s="71"/>
      <c r="N37" s="73">
        <f>SUM(I37-G37)</f>
        <v>1.2999999999998568E-3</v>
      </c>
      <c r="O37" s="71"/>
      <c r="P37" s="71"/>
      <c r="Q37" s="103"/>
    </row>
    <row r="38" spans="1:17" x14ac:dyDescent="0.35">
      <c r="A38" s="79">
        <v>12</v>
      </c>
      <c r="B38" s="88" t="s">
        <v>401</v>
      </c>
      <c r="C38" s="71">
        <v>20</v>
      </c>
      <c r="D38" s="71" t="s">
        <v>10</v>
      </c>
      <c r="E38" s="92">
        <v>46133</v>
      </c>
      <c r="F38" s="111" t="s">
        <v>450</v>
      </c>
      <c r="G38" s="73">
        <v>1.1740999999999999</v>
      </c>
      <c r="H38" s="73">
        <v>1.1961999999999999</v>
      </c>
      <c r="I38" s="73">
        <v>1.1754</v>
      </c>
      <c r="J38" s="94">
        <f t="shared" si="3"/>
        <v>2.2100000000000009E-2</v>
      </c>
      <c r="K38" s="71"/>
      <c r="L38" s="71"/>
      <c r="M38" s="71"/>
      <c r="N38" s="73">
        <f>SUM(I38-G38)</f>
        <v>1.3000000000000789E-3</v>
      </c>
      <c r="O38" s="71"/>
      <c r="P38" s="71"/>
      <c r="Q38" s="103"/>
    </row>
    <row r="39" spans="1:17" x14ac:dyDescent="0.35">
      <c r="A39" s="79">
        <v>12</v>
      </c>
      <c r="B39" s="88" t="s">
        <v>401</v>
      </c>
      <c r="C39" s="71">
        <v>20</v>
      </c>
      <c r="D39" s="71" t="s">
        <v>10</v>
      </c>
      <c r="E39" s="92">
        <v>46133</v>
      </c>
      <c r="F39" s="111" t="s">
        <v>451</v>
      </c>
      <c r="G39" s="73">
        <v>1.1664000000000001</v>
      </c>
      <c r="H39" s="73">
        <v>1.1868000000000001</v>
      </c>
      <c r="I39" s="73">
        <v>1.1675</v>
      </c>
      <c r="J39" s="94">
        <f t="shared" si="3"/>
        <v>2.0399999999999974E-2</v>
      </c>
      <c r="K39" s="71"/>
      <c r="L39" s="71"/>
      <c r="M39" s="71"/>
      <c r="N39" s="73">
        <f>SUM(I39-G39)</f>
        <v>1.0999999999998789E-3</v>
      </c>
      <c r="O39" s="71"/>
      <c r="P39" s="71"/>
      <c r="Q39" s="103"/>
    </row>
    <row r="40" spans="1:17" x14ac:dyDescent="0.35">
      <c r="A40" s="79">
        <v>12</v>
      </c>
      <c r="B40" s="88" t="s">
        <v>401</v>
      </c>
      <c r="C40" s="71">
        <v>20</v>
      </c>
      <c r="D40" s="71" t="s">
        <v>10</v>
      </c>
      <c r="E40" s="92">
        <v>46133</v>
      </c>
      <c r="F40" s="111" t="s">
        <v>452</v>
      </c>
      <c r="G40" s="73">
        <v>1.1607000000000001</v>
      </c>
      <c r="H40" s="73">
        <v>1.1902999999999999</v>
      </c>
      <c r="I40" s="73">
        <v>1.1621999999999999</v>
      </c>
      <c r="J40" s="94">
        <f t="shared" si="3"/>
        <v>2.9599999999999849E-2</v>
      </c>
      <c r="K40" s="71"/>
      <c r="L40" s="71"/>
      <c r="M40" s="71"/>
      <c r="N40" s="73">
        <f>SUM(I40-G40)</f>
        <v>1.4999999999998348E-3</v>
      </c>
      <c r="O40" s="71"/>
      <c r="P40" s="71"/>
      <c r="Q40" s="103"/>
    </row>
    <row r="41" spans="1:17" x14ac:dyDescent="0.35">
      <c r="A41" s="83">
        <v>12</v>
      </c>
      <c r="B41" s="90" t="s">
        <v>401</v>
      </c>
      <c r="C41" s="74">
        <v>20</v>
      </c>
      <c r="D41" s="74" t="s">
        <v>11</v>
      </c>
      <c r="E41" s="93">
        <v>46133</v>
      </c>
      <c r="F41" s="112" t="s">
        <v>453</v>
      </c>
      <c r="G41" s="21">
        <v>1.1754</v>
      </c>
      <c r="H41" s="21">
        <v>1.2031000000000001</v>
      </c>
      <c r="I41" s="74"/>
      <c r="J41" s="95">
        <f t="shared" si="3"/>
        <v>2.7700000000000058E-2</v>
      </c>
      <c r="K41" s="21">
        <f>AVERAGE(J41:J45)</f>
        <v>3.408000000000002E-2</v>
      </c>
      <c r="L41" s="21">
        <f>SUM(J44)</f>
        <v>4.7800000000000065E-2</v>
      </c>
      <c r="M41" s="21">
        <f>SUM(J42)</f>
        <v>2.2299999999999986E-2</v>
      </c>
      <c r="N41" s="74"/>
      <c r="O41" s="74"/>
      <c r="P41" s="74"/>
      <c r="Q41" s="104"/>
    </row>
    <row r="42" spans="1:17" x14ac:dyDescent="0.35">
      <c r="A42" s="83">
        <v>12</v>
      </c>
      <c r="B42" s="90" t="s">
        <v>401</v>
      </c>
      <c r="C42" s="74">
        <v>20</v>
      </c>
      <c r="D42" s="74" t="s">
        <v>11</v>
      </c>
      <c r="E42" s="93">
        <v>46133</v>
      </c>
      <c r="F42" s="112" t="s">
        <v>454</v>
      </c>
      <c r="G42" s="21">
        <v>1.1757</v>
      </c>
      <c r="H42" s="21">
        <v>1.198</v>
      </c>
      <c r="I42" s="74"/>
      <c r="J42" s="95">
        <f t="shared" si="3"/>
        <v>2.2299999999999986E-2</v>
      </c>
      <c r="K42" s="74"/>
      <c r="L42" s="74"/>
      <c r="M42" s="74"/>
      <c r="N42" s="74"/>
      <c r="O42" s="74"/>
      <c r="P42" s="74"/>
      <c r="Q42" s="104"/>
    </row>
    <row r="43" spans="1:17" x14ac:dyDescent="0.35">
      <c r="A43" s="83">
        <v>12</v>
      </c>
      <c r="B43" s="90" t="s">
        <v>401</v>
      </c>
      <c r="C43" s="74">
        <v>20</v>
      </c>
      <c r="D43" s="74" t="s">
        <v>11</v>
      </c>
      <c r="E43" s="93">
        <v>46133</v>
      </c>
      <c r="F43" s="112" t="s">
        <v>455</v>
      </c>
      <c r="G43" s="21">
        <v>1.1758999999999999</v>
      </c>
      <c r="H43" s="21">
        <v>1.2077</v>
      </c>
      <c r="I43" s="74"/>
      <c r="J43" s="95">
        <f t="shared" si="3"/>
        <v>3.180000000000005E-2</v>
      </c>
      <c r="K43" s="74"/>
      <c r="L43" s="74"/>
      <c r="M43" s="74"/>
      <c r="N43" s="74"/>
      <c r="O43" s="74"/>
      <c r="P43" s="74"/>
      <c r="Q43" s="104"/>
    </row>
    <row r="44" spans="1:17" x14ac:dyDescent="0.35">
      <c r="A44" s="83">
        <v>12</v>
      </c>
      <c r="B44" s="90" t="s">
        <v>401</v>
      </c>
      <c r="C44" s="74">
        <v>20</v>
      </c>
      <c r="D44" s="74" t="s">
        <v>11</v>
      </c>
      <c r="E44" s="93">
        <v>46133</v>
      </c>
      <c r="F44" s="112" t="s">
        <v>456</v>
      </c>
      <c r="G44" s="21">
        <v>1.171</v>
      </c>
      <c r="H44" s="21">
        <v>1.2188000000000001</v>
      </c>
      <c r="I44" s="74"/>
      <c r="J44" s="95">
        <f t="shared" si="3"/>
        <v>4.7800000000000065E-2</v>
      </c>
      <c r="K44" s="74"/>
      <c r="L44" s="74"/>
      <c r="M44" s="74"/>
      <c r="N44" s="74"/>
      <c r="O44" s="74"/>
      <c r="P44" s="74"/>
      <c r="Q44" s="104"/>
    </row>
    <row r="45" spans="1:17" ht="15" thickBot="1" x14ac:dyDescent="0.4">
      <c r="A45" s="87">
        <v>12</v>
      </c>
      <c r="B45" s="90" t="s">
        <v>401</v>
      </c>
      <c r="C45" s="84">
        <v>20</v>
      </c>
      <c r="D45" s="84" t="s">
        <v>11</v>
      </c>
      <c r="E45" s="97">
        <v>46133</v>
      </c>
      <c r="F45" s="112" t="s">
        <v>457</v>
      </c>
      <c r="G45" s="23">
        <v>1.165</v>
      </c>
      <c r="H45" s="23">
        <v>1.2058</v>
      </c>
      <c r="I45" s="84"/>
      <c r="J45" s="99">
        <f t="shared" si="3"/>
        <v>4.0799999999999947E-2</v>
      </c>
      <c r="K45" s="84"/>
      <c r="L45" s="84"/>
      <c r="M45" s="84"/>
      <c r="N45" s="84"/>
      <c r="O45" s="84"/>
      <c r="P45" s="84"/>
      <c r="Q45" s="105"/>
    </row>
    <row r="46" spans="1:17" x14ac:dyDescent="0.35">
      <c r="A46" s="195" t="s">
        <v>554</v>
      </c>
      <c r="B46" s="196"/>
      <c r="C46" s="196"/>
      <c r="D46" s="196"/>
      <c r="E46" s="196"/>
      <c r="F46" s="196"/>
      <c r="G46" s="196"/>
      <c r="H46" s="196"/>
      <c r="I46" s="196"/>
      <c r="J46" s="196"/>
      <c r="K46" s="196"/>
      <c r="L46" s="196"/>
      <c r="M46" s="196"/>
      <c r="N46" s="196"/>
      <c r="O46" s="196"/>
      <c r="P46" s="196"/>
      <c r="Q46" s="197"/>
    </row>
    <row r="47" spans="1:17" x14ac:dyDescent="0.35">
      <c r="A47" s="79">
        <v>3</v>
      </c>
      <c r="B47" s="88" t="s">
        <v>401</v>
      </c>
      <c r="C47" s="71">
        <v>40</v>
      </c>
      <c r="D47" s="71" t="s">
        <v>10</v>
      </c>
      <c r="E47" s="92">
        <v>46070</v>
      </c>
      <c r="F47" s="71" t="s">
        <v>289</v>
      </c>
      <c r="G47" s="73">
        <v>1.1677</v>
      </c>
      <c r="H47" s="73">
        <v>1.2136</v>
      </c>
      <c r="I47" s="73">
        <v>1.1700999999999999</v>
      </c>
      <c r="J47" s="94">
        <f>SUM(H47-G47)</f>
        <v>4.5900000000000052E-2</v>
      </c>
      <c r="K47" s="73">
        <f>AVERAGE(J47:J51)</f>
        <v>4.6320000000000049E-2</v>
      </c>
      <c r="L47" s="73">
        <f>SUM(J50)</f>
        <v>5.6900000000000173E-2</v>
      </c>
      <c r="M47" s="73">
        <f>SUM(J48)</f>
        <v>3.520000000000012E-2</v>
      </c>
      <c r="N47" s="73">
        <f>SUM(I47-G47)</f>
        <v>2.3999999999999577E-3</v>
      </c>
      <c r="O47" s="73">
        <f>AVERAGE(N47:N51)</f>
        <v>4.260000000000019E-3</v>
      </c>
      <c r="P47" s="73">
        <f>SUM(N48)</f>
        <v>1.0800000000000143E-2</v>
      </c>
      <c r="Q47" s="102">
        <f>SUM(N51)</f>
        <v>1.5000000000000568E-3</v>
      </c>
    </row>
    <row r="48" spans="1:17" x14ac:dyDescent="0.35">
      <c r="A48" s="79">
        <v>3</v>
      </c>
      <c r="B48" s="88" t="s">
        <v>401</v>
      </c>
      <c r="C48" s="71">
        <v>40</v>
      </c>
      <c r="D48" s="71" t="s">
        <v>10</v>
      </c>
      <c r="E48" s="92">
        <v>46070</v>
      </c>
      <c r="F48" s="71" t="s">
        <v>291</v>
      </c>
      <c r="G48" s="73">
        <v>1.1738</v>
      </c>
      <c r="H48" s="73">
        <v>1.2090000000000001</v>
      </c>
      <c r="I48" s="73">
        <v>1.1846000000000001</v>
      </c>
      <c r="J48" s="94">
        <f t="shared" ref="J48:J56" si="4">SUM(H48-G48)</f>
        <v>3.520000000000012E-2</v>
      </c>
      <c r="K48" s="73"/>
      <c r="L48" s="73"/>
      <c r="M48" s="73"/>
      <c r="N48" s="73">
        <f>SUM(I48-G48)</f>
        <v>1.0800000000000143E-2</v>
      </c>
      <c r="O48" s="71"/>
      <c r="P48" s="71"/>
      <c r="Q48" s="103"/>
    </row>
    <row r="49" spans="1:17" x14ac:dyDescent="0.35">
      <c r="A49" s="79">
        <v>3</v>
      </c>
      <c r="B49" s="88" t="s">
        <v>401</v>
      </c>
      <c r="C49" s="71">
        <v>40</v>
      </c>
      <c r="D49" s="71" t="s">
        <v>10</v>
      </c>
      <c r="E49" s="92">
        <v>46070</v>
      </c>
      <c r="F49" s="71" t="s">
        <v>292</v>
      </c>
      <c r="G49" s="73">
        <v>1.1785000000000001</v>
      </c>
      <c r="H49" s="73">
        <v>1.2275</v>
      </c>
      <c r="I49" s="73">
        <v>1.1822999999999999</v>
      </c>
      <c r="J49" s="94">
        <f t="shared" si="4"/>
        <v>4.8999999999999932E-2</v>
      </c>
      <c r="K49" s="73"/>
      <c r="L49" s="73"/>
      <c r="M49" s="73"/>
      <c r="N49" s="73">
        <f>SUM(I49-G49)</f>
        <v>3.7999999999998035E-3</v>
      </c>
      <c r="O49" s="71"/>
      <c r="P49" s="71"/>
      <c r="Q49" s="103"/>
    </row>
    <row r="50" spans="1:17" x14ac:dyDescent="0.35">
      <c r="A50" s="79">
        <v>3</v>
      </c>
      <c r="B50" s="88" t="s">
        <v>401</v>
      </c>
      <c r="C50" s="71">
        <v>40</v>
      </c>
      <c r="D50" s="71" t="s">
        <v>10</v>
      </c>
      <c r="E50" s="92">
        <v>46070</v>
      </c>
      <c r="F50" s="71" t="s">
        <v>293</v>
      </c>
      <c r="G50" s="73">
        <v>1.1601999999999999</v>
      </c>
      <c r="H50" s="73">
        <v>1.2171000000000001</v>
      </c>
      <c r="I50" s="73">
        <v>1.163</v>
      </c>
      <c r="J50" s="94">
        <f t="shared" si="4"/>
        <v>5.6900000000000173E-2</v>
      </c>
      <c r="K50" s="73"/>
      <c r="L50" s="73"/>
      <c r="M50" s="73"/>
      <c r="N50" s="73">
        <f>SUM(I50-G50)</f>
        <v>2.8000000000001357E-3</v>
      </c>
      <c r="O50" s="71"/>
      <c r="P50" s="71"/>
      <c r="Q50" s="103"/>
    </row>
    <row r="51" spans="1:17" x14ac:dyDescent="0.35">
      <c r="A51" s="79">
        <v>3</v>
      </c>
      <c r="B51" s="88" t="s">
        <v>401</v>
      </c>
      <c r="C51" s="71">
        <v>40</v>
      </c>
      <c r="D51" s="71" t="s">
        <v>10</v>
      </c>
      <c r="E51" s="92">
        <v>46070</v>
      </c>
      <c r="F51" s="71" t="s">
        <v>294</v>
      </c>
      <c r="G51" s="73">
        <v>1.1653</v>
      </c>
      <c r="H51" s="73">
        <v>1.2099</v>
      </c>
      <c r="I51" s="73">
        <v>1.1668000000000001</v>
      </c>
      <c r="J51" s="94">
        <f t="shared" si="4"/>
        <v>4.4599999999999973E-2</v>
      </c>
      <c r="K51" s="73"/>
      <c r="L51" s="73"/>
      <c r="M51" s="73"/>
      <c r="N51" s="73">
        <f>SUM(I51-G51)</f>
        <v>1.5000000000000568E-3</v>
      </c>
      <c r="O51" s="71"/>
      <c r="P51" s="71"/>
      <c r="Q51" s="103"/>
    </row>
    <row r="52" spans="1:17" x14ac:dyDescent="0.35">
      <c r="A52" s="10">
        <v>3</v>
      </c>
      <c r="B52" s="90" t="s">
        <v>401</v>
      </c>
      <c r="C52" s="77">
        <v>40</v>
      </c>
      <c r="D52" s="74" t="s">
        <v>11</v>
      </c>
      <c r="E52" s="93">
        <v>46070</v>
      </c>
      <c r="F52" s="74" t="s">
        <v>290</v>
      </c>
      <c r="G52" s="21">
        <v>1.165</v>
      </c>
      <c r="H52" s="21">
        <v>1.1846000000000001</v>
      </c>
      <c r="I52" s="21"/>
      <c r="J52" s="98">
        <f t="shared" si="4"/>
        <v>1.9600000000000062E-2</v>
      </c>
      <c r="K52" s="21">
        <f>AVERAGE(J52:J56)</f>
        <v>1.8560000000000087E-2</v>
      </c>
      <c r="L52" s="21">
        <f>SUM(J53)</f>
        <v>2.8300000000000214E-2</v>
      </c>
      <c r="M52" s="21">
        <f>SUM(J55)</f>
        <v>1.5100000000000113E-2</v>
      </c>
      <c r="N52" s="74"/>
      <c r="O52" s="74"/>
      <c r="P52" s="74"/>
      <c r="Q52" s="104"/>
    </row>
    <row r="53" spans="1:17" x14ac:dyDescent="0.35">
      <c r="A53" s="10">
        <v>3</v>
      </c>
      <c r="B53" s="90" t="s">
        <v>401</v>
      </c>
      <c r="C53" s="77">
        <v>40</v>
      </c>
      <c r="D53" s="74" t="s">
        <v>11</v>
      </c>
      <c r="E53" s="93">
        <v>46070</v>
      </c>
      <c r="F53" s="74" t="s">
        <v>295</v>
      </c>
      <c r="G53" s="21">
        <v>1.1682999999999999</v>
      </c>
      <c r="H53" s="21">
        <v>1.1966000000000001</v>
      </c>
      <c r="I53" s="21"/>
      <c r="J53" s="98">
        <f t="shared" si="4"/>
        <v>2.8300000000000214E-2</v>
      </c>
      <c r="K53" s="21"/>
      <c r="L53" s="21"/>
      <c r="M53" s="21"/>
      <c r="N53" s="74"/>
      <c r="O53" s="74"/>
      <c r="P53" s="74"/>
      <c r="Q53" s="104"/>
    </row>
    <row r="54" spans="1:17" x14ac:dyDescent="0.35">
      <c r="A54" s="10">
        <v>3</v>
      </c>
      <c r="B54" s="90" t="s">
        <v>401</v>
      </c>
      <c r="C54" s="77">
        <v>40</v>
      </c>
      <c r="D54" s="74" t="s">
        <v>11</v>
      </c>
      <c r="E54" s="93">
        <v>46070</v>
      </c>
      <c r="F54" s="74" t="s">
        <v>296</v>
      </c>
      <c r="G54" s="21">
        <v>1.1737</v>
      </c>
      <c r="H54" s="21">
        <v>1.1875</v>
      </c>
      <c r="I54" s="21"/>
      <c r="J54" s="98">
        <f t="shared" si="4"/>
        <v>1.3800000000000034E-2</v>
      </c>
      <c r="K54" s="21"/>
      <c r="L54" s="21"/>
      <c r="M54" s="21"/>
      <c r="N54" s="74"/>
      <c r="O54" s="74"/>
      <c r="P54" s="74"/>
      <c r="Q54" s="104"/>
    </row>
    <row r="55" spans="1:17" x14ac:dyDescent="0.35">
      <c r="A55" s="10">
        <v>3</v>
      </c>
      <c r="B55" s="90" t="s">
        <v>401</v>
      </c>
      <c r="C55" s="77">
        <v>40</v>
      </c>
      <c r="D55" s="74" t="s">
        <v>11</v>
      </c>
      <c r="E55" s="93">
        <v>46070</v>
      </c>
      <c r="F55" s="74" t="s">
        <v>297</v>
      </c>
      <c r="G55" s="21">
        <v>1.1716</v>
      </c>
      <c r="H55" s="21">
        <v>1.1867000000000001</v>
      </c>
      <c r="I55" s="21"/>
      <c r="J55" s="98">
        <f t="shared" si="4"/>
        <v>1.5100000000000113E-2</v>
      </c>
      <c r="K55" s="21"/>
      <c r="L55" s="21"/>
      <c r="M55" s="21"/>
      <c r="N55" s="74"/>
      <c r="O55" s="74"/>
      <c r="P55" s="74"/>
      <c r="Q55" s="104"/>
    </row>
    <row r="56" spans="1:17" x14ac:dyDescent="0.35">
      <c r="A56" s="10">
        <v>3</v>
      </c>
      <c r="B56" s="90" t="s">
        <v>401</v>
      </c>
      <c r="C56" s="77">
        <v>40</v>
      </c>
      <c r="D56" s="74" t="s">
        <v>11</v>
      </c>
      <c r="E56" s="93">
        <v>46070</v>
      </c>
      <c r="F56" s="74" t="s">
        <v>298</v>
      </c>
      <c r="G56" s="21">
        <v>1.1771</v>
      </c>
      <c r="H56" s="21">
        <v>1.1931</v>
      </c>
      <c r="I56" s="21"/>
      <c r="J56" s="98">
        <f t="shared" si="4"/>
        <v>1.6000000000000014E-2</v>
      </c>
      <c r="K56" s="21"/>
      <c r="L56" s="21"/>
      <c r="M56" s="21"/>
      <c r="N56" s="74"/>
      <c r="O56" s="74"/>
      <c r="P56" s="74"/>
      <c r="Q56" s="104"/>
    </row>
    <row r="57" spans="1:17" x14ac:dyDescent="0.35">
      <c r="A57" s="79">
        <v>6</v>
      </c>
      <c r="B57" s="88" t="s">
        <v>401</v>
      </c>
      <c r="C57" s="71">
        <v>40</v>
      </c>
      <c r="D57" s="71" t="s">
        <v>10</v>
      </c>
      <c r="E57" s="92">
        <v>46090</v>
      </c>
      <c r="F57" s="71" t="s">
        <v>319</v>
      </c>
      <c r="G57" s="73">
        <v>1.1812</v>
      </c>
      <c r="H57" s="73">
        <v>1.2374000000000001</v>
      </c>
      <c r="I57" s="73">
        <v>1.1718</v>
      </c>
      <c r="J57" s="94">
        <f>H57-G57</f>
        <v>5.6200000000000028E-2</v>
      </c>
      <c r="K57" s="73">
        <f>AVERAGE(J57:J61)</f>
        <v>5.3780000000000119E-2</v>
      </c>
      <c r="L57" s="73">
        <f>SUM(J59)</f>
        <v>5.7000000000000162E-2</v>
      </c>
      <c r="M57" s="73">
        <f>SUM(J58)</f>
        <v>4.6300000000000008E-2</v>
      </c>
      <c r="N57" s="73">
        <f>SUM(I57-G57)</f>
        <v>-9.400000000000075E-3</v>
      </c>
      <c r="O57" s="73">
        <f>AVERAGE(N57:N61)</f>
        <v>-2.9999999999996696E-4</v>
      </c>
      <c r="P57" s="73">
        <f>SUM(N60)</f>
        <v>6.8000000000001393E-3</v>
      </c>
      <c r="Q57" s="102">
        <f>SUM(N57)</f>
        <v>-9.400000000000075E-3</v>
      </c>
    </row>
    <row r="58" spans="1:17" x14ac:dyDescent="0.35">
      <c r="A58" s="79">
        <v>6</v>
      </c>
      <c r="B58" s="88" t="s">
        <v>401</v>
      </c>
      <c r="C58" s="71">
        <v>40</v>
      </c>
      <c r="D58" s="71" t="s">
        <v>10</v>
      </c>
      <c r="E58" s="92">
        <v>46090</v>
      </c>
      <c r="F58" s="71" t="s">
        <v>320</v>
      </c>
      <c r="G58" s="73">
        <v>1.1751</v>
      </c>
      <c r="H58" s="73">
        <v>1.2214</v>
      </c>
      <c r="I58" s="73">
        <v>1.1772</v>
      </c>
      <c r="J58" s="94">
        <f t="shared" ref="J58:J66" si="5">H58-G58</f>
        <v>4.6300000000000008E-2</v>
      </c>
      <c r="K58" s="73"/>
      <c r="L58" s="73"/>
      <c r="M58" s="73"/>
      <c r="N58" s="73">
        <f>SUM(I58-G58)</f>
        <v>2.0999999999999908E-3</v>
      </c>
      <c r="O58" s="71"/>
      <c r="P58" s="71"/>
      <c r="Q58" s="103"/>
    </row>
    <row r="59" spans="1:17" x14ac:dyDescent="0.35">
      <c r="A59" s="79">
        <v>6</v>
      </c>
      <c r="B59" s="88" t="s">
        <v>401</v>
      </c>
      <c r="C59" s="71">
        <v>40</v>
      </c>
      <c r="D59" s="71" t="s">
        <v>10</v>
      </c>
      <c r="E59" s="92">
        <v>46090</v>
      </c>
      <c r="F59" s="71" t="s">
        <v>321</v>
      </c>
      <c r="G59" s="73">
        <v>1.1718999999999999</v>
      </c>
      <c r="H59" s="73">
        <v>1.2289000000000001</v>
      </c>
      <c r="I59" s="73">
        <v>1.1782999999999999</v>
      </c>
      <c r="J59" s="94">
        <f t="shared" si="5"/>
        <v>5.7000000000000162E-2</v>
      </c>
      <c r="K59" s="73"/>
      <c r="L59" s="73"/>
      <c r="M59" s="73"/>
      <c r="N59" s="73">
        <f>SUM(I59-G59)</f>
        <v>6.3999999999999613E-3</v>
      </c>
      <c r="O59" s="71"/>
      <c r="P59" s="71"/>
      <c r="Q59" s="103"/>
    </row>
    <row r="60" spans="1:17" x14ac:dyDescent="0.35">
      <c r="A60" s="79">
        <v>6</v>
      </c>
      <c r="B60" s="88" t="s">
        <v>401</v>
      </c>
      <c r="C60" s="71">
        <v>40</v>
      </c>
      <c r="D60" s="71" t="s">
        <v>10</v>
      </c>
      <c r="E60" s="92">
        <v>46090</v>
      </c>
      <c r="F60" s="71" t="s">
        <v>322</v>
      </c>
      <c r="G60" s="73">
        <v>1.1639999999999999</v>
      </c>
      <c r="H60" s="73">
        <v>1.2188000000000001</v>
      </c>
      <c r="I60" s="73">
        <v>1.1708000000000001</v>
      </c>
      <c r="J60" s="94">
        <f t="shared" si="5"/>
        <v>5.4800000000000182E-2</v>
      </c>
      <c r="K60" s="73"/>
      <c r="L60" s="73"/>
      <c r="M60" s="73"/>
      <c r="N60" s="73">
        <f>SUM(I60-G60)</f>
        <v>6.8000000000001393E-3</v>
      </c>
      <c r="O60" s="71"/>
      <c r="P60" s="71"/>
      <c r="Q60" s="103"/>
    </row>
    <row r="61" spans="1:17" x14ac:dyDescent="0.35">
      <c r="A61" s="79">
        <v>6</v>
      </c>
      <c r="B61" s="88" t="s">
        <v>401</v>
      </c>
      <c r="C61" s="71">
        <v>40</v>
      </c>
      <c r="D61" s="71" t="s">
        <v>10</v>
      </c>
      <c r="E61" s="92">
        <v>46090</v>
      </c>
      <c r="F61" s="71" t="s">
        <v>323</v>
      </c>
      <c r="G61" s="73">
        <v>1.1802999999999999</v>
      </c>
      <c r="H61" s="73">
        <v>1.2349000000000001</v>
      </c>
      <c r="I61" s="73">
        <v>1.1729000000000001</v>
      </c>
      <c r="J61" s="94">
        <f t="shared" si="5"/>
        <v>5.4600000000000204E-2</v>
      </c>
      <c r="K61" s="73"/>
      <c r="L61" s="73"/>
      <c r="M61" s="73"/>
      <c r="N61" s="73">
        <f>SUM(I61-G61)</f>
        <v>-7.3999999999998511E-3</v>
      </c>
      <c r="O61" s="71"/>
      <c r="P61" s="71"/>
      <c r="Q61" s="103"/>
    </row>
    <row r="62" spans="1:17" x14ac:dyDescent="0.35">
      <c r="A62" s="83">
        <v>6</v>
      </c>
      <c r="B62" s="90" t="s">
        <v>401</v>
      </c>
      <c r="C62" s="77">
        <v>40</v>
      </c>
      <c r="D62" s="77" t="s">
        <v>11</v>
      </c>
      <c r="E62" s="96">
        <v>46090</v>
      </c>
      <c r="F62" s="74" t="s">
        <v>324</v>
      </c>
      <c r="G62" s="21">
        <v>1.1746000000000001</v>
      </c>
      <c r="H62" s="21">
        <v>1.2481</v>
      </c>
      <c r="I62" s="77"/>
      <c r="J62" s="98">
        <f t="shared" si="5"/>
        <v>7.3499999999999899E-2</v>
      </c>
      <c r="K62" s="76">
        <f>AVERAGE(J62:J66)</f>
        <v>6.581999999999999E-2</v>
      </c>
      <c r="L62" s="21">
        <f>SUM(J66)</f>
        <v>7.790000000000008E-2</v>
      </c>
      <c r="M62" s="21">
        <f>SUM(J64)</f>
        <v>4.7999999999999821E-2</v>
      </c>
      <c r="N62" s="74"/>
      <c r="O62" s="74"/>
      <c r="P62" s="74"/>
      <c r="Q62" s="104"/>
    </row>
    <row r="63" spans="1:17" x14ac:dyDescent="0.35">
      <c r="A63" s="83">
        <v>6</v>
      </c>
      <c r="B63" s="90" t="s">
        <v>401</v>
      </c>
      <c r="C63" s="77">
        <v>40</v>
      </c>
      <c r="D63" s="77" t="s">
        <v>11</v>
      </c>
      <c r="E63" s="96">
        <v>46090</v>
      </c>
      <c r="F63" s="74" t="s">
        <v>325</v>
      </c>
      <c r="G63" s="21">
        <v>1.17</v>
      </c>
      <c r="H63" s="21">
        <v>1.246</v>
      </c>
      <c r="I63" s="77"/>
      <c r="J63" s="98">
        <f t="shared" si="5"/>
        <v>7.6000000000000068E-2</v>
      </c>
      <c r="K63" s="77"/>
      <c r="L63" s="21"/>
      <c r="M63" s="21"/>
      <c r="N63" s="74"/>
      <c r="O63" s="74"/>
      <c r="P63" s="74"/>
      <c r="Q63" s="104"/>
    </row>
    <row r="64" spans="1:17" x14ac:dyDescent="0.35">
      <c r="A64" s="83">
        <v>6</v>
      </c>
      <c r="B64" s="90" t="s">
        <v>401</v>
      </c>
      <c r="C64" s="77">
        <v>40</v>
      </c>
      <c r="D64" s="77" t="s">
        <v>11</v>
      </c>
      <c r="E64" s="96">
        <v>46090</v>
      </c>
      <c r="F64" s="74" t="s">
        <v>326</v>
      </c>
      <c r="G64" s="21">
        <v>1.1787000000000001</v>
      </c>
      <c r="H64" s="21">
        <v>1.2266999999999999</v>
      </c>
      <c r="I64" s="77"/>
      <c r="J64" s="98">
        <f t="shared" si="5"/>
        <v>4.7999999999999821E-2</v>
      </c>
      <c r="K64" s="77"/>
      <c r="L64" s="21"/>
      <c r="M64" s="21"/>
      <c r="N64" s="74"/>
      <c r="O64" s="74"/>
      <c r="P64" s="74"/>
      <c r="Q64" s="104"/>
    </row>
    <row r="65" spans="1:17" x14ac:dyDescent="0.35">
      <c r="A65" s="83">
        <v>6</v>
      </c>
      <c r="B65" s="90" t="s">
        <v>401</v>
      </c>
      <c r="C65" s="77">
        <v>40</v>
      </c>
      <c r="D65" s="77" t="s">
        <v>11</v>
      </c>
      <c r="E65" s="96">
        <v>46090</v>
      </c>
      <c r="F65" s="74" t="s">
        <v>327</v>
      </c>
      <c r="G65" s="21">
        <v>1.1819999999999999</v>
      </c>
      <c r="H65" s="21">
        <v>1.2357</v>
      </c>
      <c r="I65" s="77"/>
      <c r="J65" s="98">
        <f t="shared" si="5"/>
        <v>5.3700000000000081E-2</v>
      </c>
      <c r="K65" s="77"/>
      <c r="L65" s="21"/>
      <c r="M65" s="21"/>
      <c r="N65" s="74"/>
      <c r="O65" s="74"/>
      <c r="P65" s="74"/>
      <c r="Q65" s="104"/>
    </row>
    <row r="66" spans="1:17" x14ac:dyDescent="0.35">
      <c r="A66" s="83">
        <v>6</v>
      </c>
      <c r="B66" s="90" t="s">
        <v>401</v>
      </c>
      <c r="C66" s="77">
        <v>40</v>
      </c>
      <c r="D66" s="77" t="s">
        <v>11</v>
      </c>
      <c r="E66" s="96">
        <v>46090</v>
      </c>
      <c r="F66" s="74" t="s">
        <v>328</v>
      </c>
      <c r="G66" s="21">
        <v>1.1633</v>
      </c>
      <c r="H66" s="21">
        <v>1.2412000000000001</v>
      </c>
      <c r="I66" s="77"/>
      <c r="J66" s="98">
        <f t="shared" si="5"/>
        <v>7.790000000000008E-2</v>
      </c>
      <c r="K66" s="77"/>
      <c r="L66" s="21"/>
      <c r="M66" s="21"/>
      <c r="N66" s="74"/>
      <c r="O66" s="74"/>
      <c r="P66" s="74"/>
      <c r="Q66" s="104"/>
    </row>
    <row r="67" spans="1:17" x14ac:dyDescent="0.35">
      <c r="A67" s="79">
        <v>9</v>
      </c>
      <c r="B67" s="88" t="s">
        <v>401</v>
      </c>
      <c r="C67" s="71">
        <v>40</v>
      </c>
      <c r="D67" s="71" t="s">
        <v>10</v>
      </c>
      <c r="E67" s="92">
        <v>46111</v>
      </c>
      <c r="F67" s="71" t="s">
        <v>349</v>
      </c>
      <c r="G67" s="73">
        <v>1.1671</v>
      </c>
      <c r="H67" s="73">
        <v>1.2223999999999999</v>
      </c>
      <c r="I67" s="73">
        <v>1.1727000000000001</v>
      </c>
      <c r="J67" s="94">
        <f>H67-G67</f>
        <v>5.5299999999999905E-2</v>
      </c>
      <c r="K67" s="73">
        <f>AVERAGE(J67:J71)</f>
        <v>5.5959999999999968E-2</v>
      </c>
      <c r="L67" s="73">
        <f>SUM(J68)</f>
        <v>6.6199999999999815E-2</v>
      </c>
      <c r="M67" s="73">
        <f>SUM(J70)</f>
        <v>4.9699999999999855E-2</v>
      </c>
      <c r="N67" s="73">
        <f>SUM(I67-G67)</f>
        <v>5.6000000000000494E-3</v>
      </c>
      <c r="O67" s="73">
        <f>AVERAGE(N67:N71)</f>
        <v>4.7200000000000132E-3</v>
      </c>
      <c r="P67" s="73">
        <f>SUM(N68)</f>
        <v>7.0999999999998842E-3</v>
      </c>
      <c r="Q67" s="102">
        <f>SUM(N70)</f>
        <v>1.5999999999998238E-3</v>
      </c>
    </row>
    <row r="68" spans="1:17" x14ac:dyDescent="0.35">
      <c r="A68" s="79">
        <v>9</v>
      </c>
      <c r="B68" s="88" t="s">
        <v>401</v>
      </c>
      <c r="C68" s="71">
        <v>40</v>
      </c>
      <c r="D68" s="71" t="s">
        <v>10</v>
      </c>
      <c r="E68" s="92">
        <v>46111</v>
      </c>
      <c r="F68" s="71" t="s">
        <v>350</v>
      </c>
      <c r="G68" s="73">
        <v>1.1705000000000001</v>
      </c>
      <c r="H68" s="73">
        <v>1.2366999999999999</v>
      </c>
      <c r="I68" s="73">
        <v>1.1776</v>
      </c>
      <c r="J68" s="94">
        <f t="shared" ref="J68:J76" si="6">H68-G68</f>
        <v>6.6199999999999815E-2</v>
      </c>
      <c r="K68" s="73"/>
      <c r="L68" s="73"/>
      <c r="M68" s="73"/>
      <c r="N68" s="73">
        <f>SUM(I68-G68)</f>
        <v>7.0999999999998842E-3</v>
      </c>
      <c r="O68" s="71"/>
      <c r="P68" s="71"/>
      <c r="Q68" s="103"/>
    </row>
    <row r="69" spans="1:17" x14ac:dyDescent="0.35">
      <c r="A69" s="79">
        <v>9</v>
      </c>
      <c r="B69" s="88" t="s">
        <v>401</v>
      </c>
      <c r="C69" s="71">
        <v>40</v>
      </c>
      <c r="D69" s="71" t="s">
        <v>10</v>
      </c>
      <c r="E69" s="92">
        <v>46111</v>
      </c>
      <c r="F69" s="71" t="s">
        <v>351</v>
      </c>
      <c r="G69" s="73">
        <v>1.1758</v>
      </c>
      <c r="H69" s="73">
        <v>1.2318</v>
      </c>
      <c r="I69" s="73">
        <v>1.1788000000000001</v>
      </c>
      <c r="J69" s="94">
        <f t="shared" si="6"/>
        <v>5.600000000000005E-2</v>
      </c>
      <c r="K69" s="73"/>
      <c r="L69" s="73"/>
      <c r="M69" s="73"/>
      <c r="N69" s="73">
        <f>SUM(I69-G69)</f>
        <v>3.0000000000001137E-3</v>
      </c>
      <c r="O69" s="71"/>
      <c r="P69" s="71"/>
      <c r="Q69" s="103"/>
    </row>
    <row r="70" spans="1:17" x14ac:dyDescent="0.35">
      <c r="A70" s="79">
        <v>9</v>
      </c>
      <c r="B70" s="88" t="s">
        <v>401</v>
      </c>
      <c r="C70" s="71">
        <v>40</v>
      </c>
      <c r="D70" s="71" t="s">
        <v>10</v>
      </c>
      <c r="E70" s="92">
        <v>46111</v>
      </c>
      <c r="F70" s="71" t="s">
        <v>352</v>
      </c>
      <c r="G70" s="73">
        <v>1.1745000000000001</v>
      </c>
      <c r="H70" s="73">
        <v>1.2242</v>
      </c>
      <c r="I70" s="73">
        <v>1.1760999999999999</v>
      </c>
      <c r="J70" s="94">
        <f t="shared" si="6"/>
        <v>4.9699999999999855E-2</v>
      </c>
      <c r="K70" s="73"/>
      <c r="L70" s="73"/>
      <c r="M70" s="73"/>
      <c r="N70" s="73">
        <f>SUM(I70-G70)</f>
        <v>1.5999999999998238E-3</v>
      </c>
      <c r="O70" s="71"/>
      <c r="P70" s="71"/>
      <c r="Q70" s="103"/>
    </row>
    <row r="71" spans="1:17" x14ac:dyDescent="0.35">
      <c r="A71" s="79">
        <v>9</v>
      </c>
      <c r="B71" s="88" t="s">
        <v>401</v>
      </c>
      <c r="C71" s="71">
        <v>40</v>
      </c>
      <c r="D71" s="71" t="s">
        <v>10</v>
      </c>
      <c r="E71" s="92">
        <v>46111</v>
      </c>
      <c r="F71" s="71" t="s">
        <v>353</v>
      </c>
      <c r="G71" s="73">
        <v>1.1661999999999999</v>
      </c>
      <c r="H71" s="73">
        <v>1.2188000000000001</v>
      </c>
      <c r="I71" s="73">
        <v>1.1725000000000001</v>
      </c>
      <c r="J71" s="94">
        <f t="shared" si="6"/>
        <v>5.2600000000000202E-2</v>
      </c>
      <c r="K71" s="73"/>
      <c r="L71" s="73"/>
      <c r="M71" s="73"/>
      <c r="N71" s="73">
        <f>SUM(I71-G71)</f>
        <v>6.3000000000001943E-3</v>
      </c>
      <c r="O71" s="71"/>
      <c r="P71" s="71"/>
      <c r="Q71" s="103"/>
    </row>
    <row r="72" spans="1:17" x14ac:dyDescent="0.35">
      <c r="A72" s="83">
        <v>9</v>
      </c>
      <c r="B72" s="90" t="s">
        <v>401</v>
      </c>
      <c r="C72" s="77">
        <v>40</v>
      </c>
      <c r="D72" s="74" t="s">
        <v>11</v>
      </c>
      <c r="E72" s="93">
        <v>46111</v>
      </c>
      <c r="F72" s="74" t="s">
        <v>354</v>
      </c>
      <c r="G72" s="21">
        <v>1.1660999999999999</v>
      </c>
      <c r="H72" s="21">
        <v>1.2276</v>
      </c>
      <c r="I72" s="74"/>
      <c r="J72" s="95">
        <f t="shared" si="6"/>
        <v>6.150000000000011E-2</v>
      </c>
      <c r="K72" s="21">
        <f>AVERAGE(J72:J76)</f>
        <v>4.6340000000000006E-2</v>
      </c>
      <c r="L72" s="21">
        <f>SUM(J72)</f>
        <v>6.150000000000011E-2</v>
      </c>
      <c r="M72" s="21">
        <f>SUM(J76)</f>
        <v>3.3499999999999863E-2</v>
      </c>
      <c r="N72" s="74"/>
      <c r="O72" s="74"/>
      <c r="P72" s="74"/>
      <c r="Q72" s="104"/>
    </row>
    <row r="73" spans="1:17" x14ac:dyDescent="0.35">
      <c r="A73" s="83">
        <v>9</v>
      </c>
      <c r="B73" s="90" t="s">
        <v>401</v>
      </c>
      <c r="C73" s="77">
        <v>40</v>
      </c>
      <c r="D73" s="74" t="s">
        <v>11</v>
      </c>
      <c r="E73" s="93">
        <v>46111</v>
      </c>
      <c r="F73" s="74" t="s">
        <v>355</v>
      </c>
      <c r="G73" s="21">
        <v>1.1773</v>
      </c>
      <c r="H73" s="21">
        <v>1.2153</v>
      </c>
      <c r="I73" s="74"/>
      <c r="J73" s="95">
        <f t="shared" si="6"/>
        <v>3.8000000000000034E-2</v>
      </c>
      <c r="K73" s="74"/>
      <c r="L73" s="21"/>
      <c r="M73" s="21"/>
      <c r="N73" s="74"/>
      <c r="O73" s="74"/>
      <c r="P73" s="74"/>
      <c r="Q73" s="104"/>
    </row>
    <row r="74" spans="1:17" x14ac:dyDescent="0.35">
      <c r="A74" s="83">
        <v>9</v>
      </c>
      <c r="B74" s="90" t="s">
        <v>401</v>
      </c>
      <c r="C74" s="77">
        <v>40</v>
      </c>
      <c r="D74" s="74" t="s">
        <v>11</v>
      </c>
      <c r="E74" s="93">
        <v>46111</v>
      </c>
      <c r="F74" s="74" t="s">
        <v>356</v>
      </c>
      <c r="G74" s="21">
        <v>1.1726000000000001</v>
      </c>
      <c r="H74" s="21">
        <v>1.2369000000000001</v>
      </c>
      <c r="I74" s="74"/>
      <c r="J74" s="95">
        <f t="shared" si="6"/>
        <v>6.4300000000000024E-2</v>
      </c>
      <c r="K74" s="74"/>
      <c r="L74" s="21"/>
      <c r="M74" s="21"/>
      <c r="N74" s="74"/>
      <c r="O74" s="74"/>
      <c r="P74" s="74"/>
      <c r="Q74" s="104"/>
    </row>
    <row r="75" spans="1:17" x14ac:dyDescent="0.35">
      <c r="A75" s="83">
        <v>9</v>
      </c>
      <c r="B75" s="90" t="s">
        <v>401</v>
      </c>
      <c r="C75" s="77">
        <v>40</v>
      </c>
      <c r="D75" s="74" t="s">
        <v>11</v>
      </c>
      <c r="E75" s="93">
        <v>46111</v>
      </c>
      <c r="F75" s="74" t="s">
        <v>357</v>
      </c>
      <c r="G75" s="21">
        <v>1.1738999999999999</v>
      </c>
      <c r="H75" s="21">
        <v>1.2082999999999999</v>
      </c>
      <c r="I75" s="74"/>
      <c r="J75" s="95">
        <f t="shared" si="6"/>
        <v>3.4399999999999986E-2</v>
      </c>
      <c r="K75" s="74"/>
      <c r="L75" s="21"/>
      <c r="M75" s="21"/>
      <c r="N75" s="74"/>
      <c r="O75" s="74"/>
      <c r="P75" s="74"/>
      <c r="Q75" s="104"/>
    </row>
    <row r="76" spans="1:17" x14ac:dyDescent="0.35">
      <c r="A76" s="83">
        <v>9</v>
      </c>
      <c r="B76" s="90" t="s">
        <v>401</v>
      </c>
      <c r="C76" s="77">
        <v>40</v>
      </c>
      <c r="D76" s="74" t="s">
        <v>11</v>
      </c>
      <c r="E76" s="93">
        <v>46111</v>
      </c>
      <c r="F76" s="74" t="s">
        <v>358</v>
      </c>
      <c r="G76" s="21">
        <v>1.1709000000000001</v>
      </c>
      <c r="H76" s="21">
        <v>1.2043999999999999</v>
      </c>
      <c r="I76" s="74"/>
      <c r="J76" s="95">
        <f t="shared" si="6"/>
        <v>3.3499999999999863E-2</v>
      </c>
      <c r="K76" s="74"/>
      <c r="L76" s="21"/>
      <c r="M76" s="21"/>
      <c r="N76" s="74"/>
      <c r="O76" s="74"/>
      <c r="P76" s="74"/>
      <c r="Q76" s="104"/>
    </row>
    <row r="77" spans="1:17" x14ac:dyDescent="0.35">
      <c r="A77" s="79">
        <v>12</v>
      </c>
      <c r="B77" s="88" t="s">
        <v>401</v>
      </c>
      <c r="C77" s="71">
        <v>40</v>
      </c>
      <c r="D77" s="71" t="s">
        <v>10</v>
      </c>
      <c r="E77" s="92">
        <v>46133</v>
      </c>
      <c r="F77" s="71" t="s">
        <v>458</v>
      </c>
      <c r="G77" s="73">
        <v>1.1701999999999999</v>
      </c>
      <c r="H77" s="73">
        <v>1.224</v>
      </c>
      <c r="I77" s="73">
        <v>1.1734</v>
      </c>
      <c r="J77" s="94">
        <f>SUM(H77-G77)</f>
        <v>5.380000000000007E-2</v>
      </c>
      <c r="K77" s="73">
        <f>AVERAGE(J77:J81)</f>
        <v>5.2280000000000014E-2</v>
      </c>
      <c r="L77" s="73">
        <f>SUM(J81)</f>
        <v>7.0999999999999952E-2</v>
      </c>
      <c r="M77" s="73">
        <f>SUM(J78)</f>
        <v>3.620000000000001E-2</v>
      </c>
      <c r="N77" s="73">
        <f>SUM(I77-G77)</f>
        <v>3.2000000000000917E-3</v>
      </c>
      <c r="O77" s="73">
        <f>AVERAGE(N77:N81)</f>
        <v>3.5599999999999634E-3</v>
      </c>
      <c r="P77" s="73">
        <f>SUM(N81)</f>
        <v>4.4999999999999485E-3</v>
      </c>
      <c r="Q77" s="102">
        <f>SUM(N80)</f>
        <v>2.8999999999999027E-3</v>
      </c>
    </row>
    <row r="78" spans="1:17" x14ac:dyDescent="0.35">
      <c r="A78" s="79">
        <v>12</v>
      </c>
      <c r="B78" s="88" t="s">
        <v>401</v>
      </c>
      <c r="C78" s="71">
        <v>40</v>
      </c>
      <c r="D78" s="71" t="s">
        <v>10</v>
      </c>
      <c r="E78" s="92">
        <v>46133</v>
      </c>
      <c r="F78" s="71" t="s">
        <v>459</v>
      </c>
      <c r="G78" s="73">
        <v>1.1669</v>
      </c>
      <c r="H78" s="73">
        <v>1.2031000000000001</v>
      </c>
      <c r="I78" s="73">
        <v>1.1702999999999999</v>
      </c>
      <c r="J78" s="94">
        <f t="shared" ref="J78:J86" si="7">SUM(H78-G78)</f>
        <v>3.620000000000001E-2</v>
      </c>
      <c r="K78" s="71"/>
      <c r="L78" s="71"/>
      <c r="M78" s="71"/>
      <c r="N78" s="73">
        <f>SUM(I78-G78)</f>
        <v>3.3999999999998476E-3</v>
      </c>
      <c r="O78" s="71"/>
      <c r="P78" s="71"/>
      <c r="Q78" s="103"/>
    </row>
    <row r="79" spans="1:17" x14ac:dyDescent="0.35">
      <c r="A79" s="79">
        <v>12</v>
      </c>
      <c r="B79" s="88" t="s">
        <v>401</v>
      </c>
      <c r="C79" s="71">
        <v>40</v>
      </c>
      <c r="D79" s="71" t="s">
        <v>10</v>
      </c>
      <c r="E79" s="92">
        <v>46133</v>
      </c>
      <c r="F79" s="71" t="s">
        <v>460</v>
      </c>
      <c r="G79" s="73">
        <v>1.1702999999999999</v>
      </c>
      <c r="H79" s="73">
        <v>1.2215</v>
      </c>
      <c r="I79" s="73">
        <v>1.1740999999999999</v>
      </c>
      <c r="J79" s="94">
        <f t="shared" si="7"/>
        <v>5.1200000000000134E-2</v>
      </c>
      <c r="K79" s="71"/>
      <c r="L79" s="71"/>
      <c r="M79" s="71"/>
      <c r="N79" s="73">
        <f>SUM(I79-G79)</f>
        <v>3.8000000000000256E-3</v>
      </c>
      <c r="O79" s="71"/>
      <c r="P79" s="71"/>
      <c r="Q79" s="103"/>
    </row>
    <row r="80" spans="1:17" x14ac:dyDescent="0.35">
      <c r="A80" s="79">
        <v>12</v>
      </c>
      <c r="B80" s="88" t="s">
        <v>401</v>
      </c>
      <c r="C80" s="71">
        <v>40</v>
      </c>
      <c r="D80" s="71" t="s">
        <v>10</v>
      </c>
      <c r="E80" s="92">
        <v>46133</v>
      </c>
      <c r="F80" s="71" t="s">
        <v>461</v>
      </c>
      <c r="G80" s="73">
        <v>1.1754</v>
      </c>
      <c r="H80" s="73">
        <v>1.2245999999999999</v>
      </c>
      <c r="I80" s="73">
        <v>1.1782999999999999</v>
      </c>
      <c r="J80" s="94">
        <f t="shared" si="7"/>
        <v>4.919999999999991E-2</v>
      </c>
      <c r="K80" s="71"/>
      <c r="L80" s="71"/>
      <c r="M80" s="71"/>
      <c r="N80" s="73">
        <f>SUM(I80-G80)</f>
        <v>2.8999999999999027E-3</v>
      </c>
      <c r="O80" s="71"/>
      <c r="P80" s="71"/>
      <c r="Q80" s="103"/>
    </row>
    <row r="81" spans="1:17" x14ac:dyDescent="0.35">
      <c r="A81" s="79">
        <v>12</v>
      </c>
      <c r="B81" s="88" t="s">
        <v>401</v>
      </c>
      <c r="C81" s="71">
        <v>40</v>
      </c>
      <c r="D81" s="71" t="s">
        <v>10</v>
      </c>
      <c r="E81" s="92">
        <v>46133</v>
      </c>
      <c r="F81" s="71" t="s">
        <v>462</v>
      </c>
      <c r="G81" s="73">
        <v>1.1733</v>
      </c>
      <c r="H81" s="73">
        <v>1.2443</v>
      </c>
      <c r="I81" s="73">
        <v>1.1778</v>
      </c>
      <c r="J81" s="94">
        <f t="shared" si="7"/>
        <v>7.0999999999999952E-2</v>
      </c>
      <c r="K81" s="71"/>
      <c r="L81" s="71"/>
      <c r="M81" s="71"/>
      <c r="N81" s="73">
        <f>SUM(I81-G81)</f>
        <v>4.4999999999999485E-3</v>
      </c>
      <c r="O81" s="71"/>
      <c r="P81" s="71"/>
      <c r="Q81" s="103"/>
    </row>
    <row r="82" spans="1:17" x14ac:dyDescent="0.35">
      <c r="A82" s="83">
        <v>12</v>
      </c>
      <c r="B82" s="90" t="s">
        <v>401</v>
      </c>
      <c r="C82" s="77">
        <v>40</v>
      </c>
      <c r="D82" s="74" t="s">
        <v>11</v>
      </c>
      <c r="E82" s="93">
        <v>46133</v>
      </c>
      <c r="F82" s="74" t="s">
        <v>463</v>
      </c>
      <c r="G82" s="21">
        <v>1.1762999999999999</v>
      </c>
      <c r="H82" s="21">
        <v>1.2301</v>
      </c>
      <c r="I82" s="74"/>
      <c r="J82" s="95">
        <f t="shared" si="7"/>
        <v>5.380000000000007E-2</v>
      </c>
      <c r="K82" s="21">
        <f>AVERAGE(J82:J86)</f>
        <v>5.826000000000002E-2</v>
      </c>
      <c r="L82" s="21">
        <f>SUM(J86)</f>
        <v>6.4400000000000013E-2</v>
      </c>
      <c r="M82" s="21">
        <f>SUM(J85)</f>
        <v>4.6700000000000186E-2</v>
      </c>
      <c r="N82" s="74"/>
      <c r="O82" s="74"/>
      <c r="P82" s="74"/>
      <c r="Q82" s="104"/>
    </row>
    <row r="83" spans="1:17" x14ac:dyDescent="0.35">
      <c r="A83" s="83">
        <v>12</v>
      </c>
      <c r="B83" s="90" t="s">
        <v>401</v>
      </c>
      <c r="C83" s="77">
        <v>40</v>
      </c>
      <c r="D83" s="74" t="s">
        <v>11</v>
      </c>
      <c r="E83" s="93">
        <v>46133</v>
      </c>
      <c r="F83" s="74" t="s">
        <v>464</v>
      </c>
      <c r="G83" s="21">
        <v>1.1633</v>
      </c>
      <c r="H83" s="21">
        <v>1.2257</v>
      </c>
      <c r="I83" s="74"/>
      <c r="J83" s="95">
        <f t="shared" si="7"/>
        <v>6.2400000000000011E-2</v>
      </c>
      <c r="K83" s="74"/>
      <c r="L83" s="74"/>
      <c r="M83" s="74"/>
      <c r="N83" s="74"/>
      <c r="O83" s="74"/>
      <c r="P83" s="74"/>
      <c r="Q83" s="104"/>
    </row>
    <row r="84" spans="1:17" x14ac:dyDescent="0.35">
      <c r="A84" s="83">
        <v>12</v>
      </c>
      <c r="B84" s="90" t="s">
        <v>401</v>
      </c>
      <c r="C84" s="77">
        <v>40</v>
      </c>
      <c r="D84" s="74" t="s">
        <v>11</v>
      </c>
      <c r="E84" s="93">
        <v>46133</v>
      </c>
      <c r="F84" s="74" t="s">
        <v>465</v>
      </c>
      <c r="G84" s="21">
        <v>1.1866000000000001</v>
      </c>
      <c r="H84" s="21">
        <v>1.2505999999999999</v>
      </c>
      <c r="I84" s="74"/>
      <c r="J84" s="95">
        <f t="shared" si="7"/>
        <v>6.3999999999999835E-2</v>
      </c>
      <c r="K84" s="74"/>
      <c r="L84" s="74"/>
      <c r="M84" s="74"/>
      <c r="N84" s="74"/>
      <c r="O84" s="74"/>
      <c r="P84" s="74"/>
      <c r="Q84" s="104"/>
    </row>
    <row r="85" spans="1:17" x14ac:dyDescent="0.35">
      <c r="A85" s="83">
        <v>12</v>
      </c>
      <c r="B85" s="90" t="s">
        <v>401</v>
      </c>
      <c r="C85" s="77">
        <v>40</v>
      </c>
      <c r="D85" s="74" t="s">
        <v>11</v>
      </c>
      <c r="E85" s="93">
        <v>46133</v>
      </c>
      <c r="F85" s="74" t="s">
        <v>466</v>
      </c>
      <c r="G85" s="21">
        <v>1.1599999999999999</v>
      </c>
      <c r="H85" s="21">
        <v>1.2067000000000001</v>
      </c>
      <c r="I85" s="74"/>
      <c r="J85" s="95">
        <f t="shared" si="7"/>
        <v>4.6700000000000186E-2</v>
      </c>
      <c r="K85" s="74"/>
      <c r="L85" s="74"/>
      <c r="M85" s="74"/>
      <c r="N85" s="74"/>
      <c r="O85" s="74"/>
      <c r="P85" s="74"/>
      <c r="Q85" s="104"/>
    </row>
    <row r="86" spans="1:17" ht="15" thickBot="1" x14ac:dyDescent="0.4">
      <c r="A86" s="87">
        <v>12</v>
      </c>
      <c r="B86" s="90" t="s">
        <v>401</v>
      </c>
      <c r="C86" s="77">
        <v>40</v>
      </c>
      <c r="D86" s="84" t="s">
        <v>11</v>
      </c>
      <c r="E86" s="97">
        <v>46133</v>
      </c>
      <c r="F86" s="74" t="s">
        <v>467</v>
      </c>
      <c r="G86" s="23">
        <v>1.1752</v>
      </c>
      <c r="H86" s="23">
        <v>1.2396</v>
      </c>
      <c r="I86" s="84"/>
      <c r="J86" s="99">
        <f t="shared" si="7"/>
        <v>6.4400000000000013E-2</v>
      </c>
      <c r="K86" s="84"/>
      <c r="L86" s="84"/>
      <c r="M86" s="84"/>
      <c r="N86" s="84"/>
      <c r="O86" s="84"/>
      <c r="P86" s="84"/>
      <c r="Q86" s="105"/>
    </row>
    <row r="87" spans="1:17" x14ac:dyDescent="0.35">
      <c r="A87" s="195" t="s">
        <v>556</v>
      </c>
      <c r="B87" s="196"/>
      <c r="C87" s="196"/>
      <c r="D87" s="196"/>
      <c r="E87" s="196"/>
      <c r="F87" s="196"/>
      <c r="G87" s="196"/>
      <c r="H87" s="196"/>
      <c r="I87" s="196"/>
      <c r="J87" s="196"/>
      <c r="K87" s="196"/>
      <c r="L87" s="196"/>
      <c r="M87" s="196"/>
      <c r="N87" s="196"/>
      <c r="O87" s="196"/>
      <c r="P87" s="196"/>
      <c r="Q87" s="197"/>
    </row>
    <row r="88" spans="1:17" x14ac:dyDescent="0.35">
      <c r="A88" s="79">
        <v>3</v>
      </c>
      <c r="B88" s="88" t="s">
        <v>401</v>
      </c>
      <c r="C88" s="71">
        <v>60</v>
      </c>
      <c r="D88" s="71" t="s">
        <v>10</v>
      </c>
      <c r="E88" s="72">
        <v>46070</v>
      </c>
      <c r="F88" s="71" t="s">
        <v>299</v>
      </c>
      <c r="G88" s="73">
        <v>1.1695</v>
      </c>
      <c r="H88" s="73">
        <v>1.1871</v>
      </c>
      <c r="I88" s="73">
        <v>1.1720999999999999</v>
      </c>
      <c r="J88" s="94">
        <f>SUM(H88-G88)</f>
        <v>1.760000000000006E-2</v>
      </c>
      <c r="K88" s="73">
        <f>AVERAGE(J88:J92)</f>
        <v>2.2740000000000028E-2</v>
      </c>
      <c r="L88" s="73">
        <f>SUM(J92)</f>
        <v>4.1600000000000081E-2</v>
      </c>
      <c r="M88" s="73">
        <f>SUM(J91)</f>
        <v>1.3399999999999856E-2</v>
      </c>
      <c r="N88" s="73">
        <f>SUM(I88-G88)</f>
        <v>2.5999999999999357E-3</v>
      </c>
      <c r="O88" s="73">
        <f>AVERAGE(N88:N92)</f>
        <v>3.1000000000000138E-3</v>
      </c>
      <c r="P88" s="73">
        <f>SUM(N90)</f>
        <v>3.9000000000000146E-3</v>
      </c>
      <c r="Q88" s="80">
        <f>SUM(N91)</f>
        <v>2.0000000000000018E-3</v>
      </c>
    </row>
    <row r="89" spans="1:17" x14ac:dyDescent="0.35">
      <c r="A89" s="79">
        <v>3</v>
      </c>
      <c r="B89" s="88" t="s">
        <v>401</v>
      </c>
      <c r="C89" s="71">
        <v>60</v>
      </c>
      <c r="D89" s="71" t="s">
        <v>10</v>
      </c>
      <c r="E89" s="72">
        <v>46070</v>
      </c>
      <c r="F89" s="71" t="s">
        <v>301</v>
      </c>
      <c r="G89" s="73">
        <v>1.167</v>
      </c>
      <c r="H89" s="73">
        <v>1.1914</v>
      </c>
      <c r="I89" s="73">
        <v>1.1705000000000001</v>
      </c>
      <c r="J89" s="94">
        <f t="shared" ref="J89:J97" si="8">SUM(H89-G89)</f>
        <v>2.4399999999999977E-2</v>
      </c>
      <c r="K89" s="73"/>
      <c r="L89" s="73"/>
      <c r="M89" s="73"/>
      <c r="N89" s="73">
        <f>SUM(I89-G89)</f>
        <v>3.5000000000000586E-3</v>
      </c>
      <c r="O89" s="71"/>
      <c r="P89" s="71"/>
      <c r="Q89" s="81"/>
    </row>
    <row r="90" spans="1:17" x14ac:dyDescent="0.35">
      <c r="A90" s="79">
        <v>3</v>
      </c>
      <c r="B90" s="88" t="s">
        <v>401</v>
      </c>
      <c r="C90" s="71">
        <v>60</v>
      </c>
      <c r="D90" s="71" t="s">
        <v>10</v>
      </c>
      <c r="E90" s="72">
        <v>46070</v>
      </c>
      <c r="F90" s="71" t="s">
        <v>302</v>
      </c>
      <c r="G90" s="73">
        <v>1.1780999999999999</v>
      </c>
      <c r="H90" s="73">
        <v>1.1948000000000001</v>
      </c>
      <c r="I90" s="73">
        <v>1.1819999999999999</v>
      </c>
      <c r="J90" s="94">
        <f t="shared" si="8"/>
        <v>1.6700000000000159E-2</v>
      </c>
      <c r="K90" s="73"/>
      <c r="L90" s="73"/>
      <c r="M90" s="73"/>
      <c r="N90" s="73">
        <f>SUM(I90-G90)</f>
        <v>3.9000000000000146E-3</v>
      </c>
      <c r="O90" s="71"/>
      <c r="P90" s="71"/>
      <c r="Q90" s="81"/>
    </row>
    <row r="91" spans="1:17" x14ac:dyDescent="0.35">
      <c r="A91" s="79">
        <v>3</v>
      </c>
      <c r="B91" s="88" t="s">
        <v>401</v>
      </c>
      <c r="C91" s="71">
        <v>60</v>
      </c>
      <c r="D91" s="71" t="s">
        <v>10</v>
      </c>
      <c r="E91" s="72">
        <v>46070</v>
      </c>
      <c r="F91" s="71" t="s">
        <v>303</v>
      </c>
      <c r="G91" s="73">
        <v>1.1665000000000001</v>
      </c>
      <c r="H91" s="73">
        <v>1.1798999999999999</v>
      </c>
      <c r="I91" s="73">
        <v>1.1685000000000001</v>
      </c>
      <c r="J91" s="94">
        <f t="shared" si="8"/>
        <v>1.3399999999999856E-2</v>
      </c>
      <c r="K91" s="73"/>
      <c r="L91" s="73"/>
      <c r="M91" s="73"/>
      <c r="N91" s="73">
        <f>SUM(I91-G91)</f>
        <v>2.0000000000000018E-3</v>
      </c>
      <c r="O91" s="71"/>
      <c r="P91" s="71"/>
      <c r="Q91" s="81"/>
    </row>
    <row r="92" spans="1:17" x14ac:dyDescent="0.35">
      <c r="A92" s="79">
        <v>3</v>
      </c>
      <c r="B92" s="88" t="s">
        <v>401</v>
      </c>
      <c r="C92" s="71">
        <v>60</v>
      </c>
      <c r="D92" s="71" t="s">
        <v>10</v>
      </c>
      <c r="E92" s="72">
        <v>46070</v>
      </c>
      <c r="F92" s="71" t="s">
        <v>304</v>
      </c>
      <c r="G92" s="73">
        <v>1.1758999999999999</v>
      </c>
      <c r="H92" s="73">
        <v>1.2175</v>
      </c>
      <c r="I92" s="73">
        <v>1.1794</v>
      </c>
      <c r="J92" s="94">
        <f t="shared" si="8"/>
        <v>4.1600000000000081E-2</v>
      </c>
      <c r="K92" s="73"/>
      <c r="L92" s="73"/>
      <c r="M92" s="73"/>
      <c r="N92" s="73">
        <f>SUM(I92-G92)</f>
        <v>3.5000000000000586E-3</v>
      </c>
      <c r="O92" s="71"/>
      <c r="P92" s="71"/>
      <c r="Q92" s="81"/>
    </row>
    <row r="93" spans="1:17" x14ac:dyDescent="0.35">
      <c r="A93" s="10">
        <v>3</v>
      </c>
      <c r="B93" s="90" t="s">
        <v>401</v>
      </c>
      <c r="C93" s="77">
        <v>60</v>
      </c>
      <c r="D93" s="74" t="s">
        <v>11</v>
      </c>
      <c r="E93" s="75">
        <v>46070</v>
      </c>
      <c r="F93" s="74" t="s">
        <v>300</v>
      </c>
      <c r="G93" s="21">
        <v>1.1666000000000001</v>
      </c>
      <c r="H93" s="21">
        <v>1.1870000000000001</v>
      </c>
      <c r="I93" s="21"/>
      <c r="J93" s="98">
        <f t="shared" si="8"/>
        <v>2.0399999999999974E-2</v>
      </c>
      <c r="K93" s="21">
        <f>AVERAGE(J93:J97)</f>
        <v>2.2359999999999981E-2</v>
      </c>
      <c r="L93" s="21">
        <f>SUM(J95)</f>
        <v>3.0599999999999961E-2</v>
      </c>
      <c r="M93" s="21">
        <f>SUM(J96)</f>
        <v>1.7800000000000038E-2</v>
      </c>
      <c r="N93" s="74"/>
      <c r="O93" s="74"/>
      <c r="P93" s="74"/>
      <c r="Q93" s="82"/>
    </row>
    <row r="94" spans="1:17" x14ac:dyDescent="0.35">
      <c r="A94" s="10">
        <v>3</v>
      </c>
      <c r="B94" s="90" t="s">
        <v>401</v>
      </c>
      <c r="C94" s="77">
        <v>60</v>
      </c>
      <c r="D94" s="74" t="s">
        <v>11</v>
      </c>
      <c r="E94" s="75">
        <v>46070</v>
      </c>
      <c r="F94" s="74" t="s">
        <v>305</v>
      </c>
      <c r="G94" s="21">
        <v>1.1613</v>
      </c>
      <c r="H94" s="21">
        <v>1.1811</v>
      </c>
      <c r="I94" s="21"/>
      <c r="J94" s="98">
        <f t="shared" si="8"/>
        <v>1.980000000000004E-2</v>
      </c>
      <c r="K94" s="21"/>
      <c r="L94" s="21"/>
      <c r="M94" s="21"/>
      <c r="N94" s="74"/>
      <c r="O94" s="74"/>
      <c r="P94" s="74"/>
      <c r="Q94" s="82"/>
    </row>
    <row r="95" spans="1:17" x14ac:dyDescent="0.35">
      <c r="A95" s="10">
        <v>3</v>
      </c>
      <c r="B95" s="90" t="s">
        <v>401</v>
      </c>
      <c r="C95" s="77">
        <v>60</v>
      </c>
      <c r="D95" s="74" t="s">
        <v>11</v>
      </c>
      <c r="E95" s="75">
        <v>46070</v>
      </c>
      <c r="F95" s="74" t="s">
        <v>306</v>
      </c>
      <c r="G95" s="21">
        <v>1.1754</v>
      </c>
      <c r="H95" s="21">
        <v>1.206</v>
      </c>
      <c r="I95" s="21"/>
      <c r="J95" s="98">
        <f t="shared" si="8"/>
        <v>3.0599999999999961E-2</v>
      </c>
      <c r="K95" s="21"/>
      <c r="L95" s="21"/>
      <c r="M95" s="21"/>
      <c r="N95" s="74"/>
      <c r="O95" s="74"/>
      <c r="P95" s="74"/>
      <c r="Q95" s="82"/>
    </row>
    <row r="96" spans="1:17" x14ac:dyDescent="0.35">
      <c r="A96" s="10">
        <v>3</v>
      </c>
      <c r="B96" s="90" t="s">
        <v>401</v>
      </c>
      <c r="C96" s="77">
        <v>60</v>
      </c>
      <c r="D96" s="74" t="s">
        <v>11</v>
      </c>
      <c r="E96" s="75">
        <v>46070</v>
      </c>
      <c r="F96" s="74" t="s">
        <v>307</v>
      </c>
      <c r="G96" s="21">
        <v>1.1560999999999999</v>
      </c>
      <c r="H96" s="21">
        <v>1.1738999999999999</v>
      </c>
      <c r="I96" s="21"/>
      <c r="J96" s="98">
        <f t="shared" si="8"/>
        <v>1.7800000000000038E-2</v>
      </c>
      <c r="K96" s="21"/>
      <c r="L96" s="21"/>
      <c r="M96" s="21"/>
      <c r="N96" s="74"/>
      <c r="O96" s="74"/>
      <c r="P96" s="74"/>
      <c r="Q96" s="82"/>
    </row>
    <row r="97" spans="1:17" x14ac:dyDescent="0.35">
      <c r="A97" s="10">
        <v>3</v>
      </c>
      <c r="B97" s="90" t="s">
        <v>401</v>
      </c>
      <c r="C97" s="77">
        <v>60</v>
      </c>
      <c r="D97" s="74" t="s">
        <v>11</v>
      </c>
      <c r="E97" s="75">
        <v>46070</v>
      </c>
      <c r="F97" s="74" t="s">
        <v>308</v>
      </c>
      <c r="G97" s="21">
        <v>1.1785000000000001</v>
      </c>
      <c r="H97" s="21">
        <v>1.2017</v>
      </c>
      <c r="I97" s="21"/>
      <c r="J97" s="98">
        <f t="shared" si="8"/>
        <v>2.3199999999999887E-2</v>
      </c>
      <c r="K97" s="21"/>
      <c r="L97" s="21"/>
      <c r="M97" s="21"/>
      <c r="N97" s="74"/>
      <c r="O97" s="74"/>
      <c r="P97" s="74"/>
      <c r="Q97" s="82"/>
    </row>
    <row r="98" spans="1:17" x14ac:dyDescent="0.35">
      <c r="A98" s="79">
        <v>6</v>
      </c>
      <c r="B98" s="88" t="s">
        <v>401</v>
      </c>
      <c r="C98" s="71">
        <v>60</v>
      </c>
      <c r="D98" s="71" t="s">
        <v>10</v>
      </c>
      <c r="E98" s="72">
        <v>46090</v>
      </c>
      <c r="F98" s="71" t="s">
        <v>329</v>
      </c>
      <c r="G98" s="73">
        <v>1.1731</v>
      </c>
      <c r="H98" s="73">
        <v>1.2267999999999999</v>
      </c>
      <c r="I98" s="73">
        <v>1.177</v>
      </c>
      <c r="J98" s="94">
        <f>H98-G98</f>
        <v>5.3699999999999859E-2</v>
      </c>
      <c r="K98" s="73">
        <f>AVERAGE(J98:J102)</f>
        <v>5.7779999999999984E-2</v>
      </c>
      <c r="L98" s="73">
        <f>SUM(J100)</f>
        <v>7.2000000000000064E-2</v>
      </c>
      <c r="M98" s="73">
        <f>SUM(J102)</f>
        <v>4.8200000000000021E-2</v>
      </c>
      <c r="N98" s="73">
        <f>SUM(I98-G98)</f>
        <v>3.9000000000000146E-3</v>
      </c>
      <c r="O98" s="73">
        <f>AVERAGE(N98:N102)</f>
        <v>2.9199999999999894E-3</v>
      </c>
      <c r="P98" s="73">
        <f>SUM(N99)</f>
        <v>1.7299999999999871E-2</v>
      </c>
      <c r="Q98" s="80">
        <f>SUM(N101)</f>
        <v>-1.3299999999999867E-2</v>
      </c>
    </row>
    <row r="99" spans="1:17" x14ac:dyDescent="0.35">
      <c r="A99" s="79">
        <v>6</v>
      </c>
      <c r="B99" s="88" t="s">
        <v>401</v>
      </c>
      <c r="C99" s="71">
        <v>60</v>
      </c>
      <c r="D99" s="71" t="s">
        <v>10</v>
      </c>
      <c r="E99" s="72">
        <v>46090</v>
      </c>
      <c r="F99" s="71" t="s">
        <v>330</v>
      </c>
      <c r="G99" s="73">
        <v>1.1565000000000001</v>
      </c>
      <c r="H99" s="73">
        <v>1.2206999999999999</v>
      </c>
      <c r="I99" s="73">
        <v>1.1738</v>
      </c>
      <c r="J99" s="94">
        <f t="shared" ref="J99:J107" si="9">H99-G99</f>
        <v>6.4199999999999813E-2</v>
      </c>
      <c r="K99" s="73"/>
      <c r="L99" s="73"/>
      <c r="M99" s="73"/>
      <c r="N99" s="73">
        <f>SUM(I99-G99)</f>
        <v>1.7299999999999871E-2</v>
      </c>
      <c r="O99" s="71"/>
      <c r="P99" s="71"/>
      <c r="Q99" s="81"/>
    </row>
    <row r="100" spans="1:17" x14ac:dyDescent="0.35">
      <c r="A100" s="79">
        <v>6</v>
      </c>
      <c r="B100" s="88" t="s">
        <v>401</v>
      </c>
      <c r="C100" s="71">
        <v>60</v>
      </c>
      <c r="D100" s="71" t="s">
        <v>10</v>
      </c>
      <c r="E100" s="72">
        <v>46090</v>
      </c>
      <c r="F100" s="71" t="s">
        <v>331</v>
      </c>
      <c r="G100" s="73">
        <v>1.1739999999999999</v>
      </c>
      <c r="H100" s="73">
        <v>1.246</v>
      </c>
      <c r="I100" s="73">
        <v>1.1783999999999999</v>
      </c>
      <c r="J100" s="94">
        <f t="shared" si="9"/>
        <v>7.2000000000000064E-2</v>
      </c>
      <c r="K100" s="73"/>
      <c r="L100" s="73"/>
      <c r="M100" s="73"/>
      <c r="N100" s="73">
        <f>SUM(I100-G100)</f>
        <v>4.3999999999999595E-3</v>
      </c>
      <c r="O100" s="71"/>
      <c r="P100" s="71"/>
      <c r="Q100" s="81"/>
    </row>
    <row r="101" spans="1:17" x14ac:dyDescent="0.35">
      <c r="A101" s="79">
        <v>6</v>
      </c>
      <c r="B101" s="88" t="s">
        <v>401</v>
      </c>
      <c r="C101" s="71">
        <v>60</v>
      </c>
      <c r="D101" s="71" t="s">
        <v>10</v>
      </c>
      <c r="E101" s="72">
        <v>46090</v>
      </c>
      <c r="F101" s="71" t="s">
        <v>332</v>
      </c>
      <c r="G101" s="73">
        <v>1.1823999999999999</v>
      </c>
      <c r="H101" s="73">
        <v>1.2332000000000001</v>
      </c>
      <c r="I101" s="73">
        <v>1.1691</v>
      </c>
      <c r="J101" s="94">
        <f t="shared" si="9"/>
        <v>5.0800000000000178E-2</v>
      </c>
      <c r="K101" s="73"/>
      <c r="L101" s="73"/>
      <c r="M101" s="73"/>
      <c r="N101" s="73">
        <f>SUM(I101-G101)</f>
        <v>-1.3299999999999867E-2</v>
      </c>
      <c r="O101" s="71"/>
      <c r="P101" s="71"/>
      <c r="Q101" s="81"/>
    </row>
    <row r="102" spans="1:17" x14ac:dyDescent="0.35">
      <c r="A102" s="79">
        <v>6</v>
      </c>
      <c r="B102" s="88" t="s">
        <v>401</v>
      </c>
      <c r="C102" s="71">
        <v>60</v>
      </c>
      <c r="D102" s="71" t="s">
        <v>10</v>
      </c>
      <c r="E102" s="72">
        <v>46090</v>
      </c>
      <c r="F102" s="71" t="s">
        <v>333</v>
      </c>
      <c r="G102" s="73">
        <v>1.1698999999999999</v>
      </c>
      <c r="H102" s="73">
        <v>1.2181</v>
      </c>
      <c r="I102" s="73">
        <v>1.1721999999999999</v>
      </c>
      <c r="J102" s="94">
        <f t="shared" si="9"/>
        <v>4.8200000000000021E-2</v>
      </c>
      <c r="K102" s="73"/>
      <c r="L102" s="73"/>
      <c r="M102" s="73"/>
      <c r="N102" s="73">
        <f>SUM(I102-G102)</f>
        <v>2.2999999999999687E-3</v>
      </c>
      <c r="O102" s="71"/>
      <c r="P102" s="71"/>
      <c r="Q102" s="81"/>
    </row>
    <row r="103" spans="1:17" x14ac:dyDescent="0.35">
      <c r="A103" s="83">
        <v>6</v>
      </c>
      <c r="B103" s="90" t="s">
        <v>401</v>
      </c>
      <c r="C103" s="77">
        <v>60</v>
      </c>
      <c r="D103" s="77" t="s">
        <v>11</v>
      </c>
      <c r="E103" s="78">
        <v>46090</v>
      </c>
      <c r="F103" s="74" t="s">
        <v>334</v>
      </c>
      <c r="G103" s="21">
        <v>1.1576</v>
      </c>
      <c r="H103" s="21">
        <v>1.2176</v>
      </c>
      <c r="I103" s="77"/>
      <c r="J103" s="98">
        <f t="shared" si="9"/>
        <v>6.0000000000000053E-2</v>
      </c>
      <c r="K103" s="76">
        <f>AVERAGE(J103:J107)</f>
        <v>6.0320000000000061E-2</v>
      </c>
      <c r="L103" s="21">
        <f>SUM(J107)</f>
        <v>6.7700000000000093E-2</v>
      </c>
      <c r="M103" s="21">
        <f>SUM(J105)</f>
        <v>4.610000000000003E-2</v>
      </c>
      <c r="N103" s="74"/>
      <c r="O103" s="74"/>
      <c r="P103" s="74"/>
      <c r="Q103" s="82"/>
    </row>
    <row r="104" spans="1:17" x14ac:dyDescent="0.35">
      <c r="A104" s="83">
        <v>6</v>
      </c>
      <c r="B104" s="90" t="s">
        <v>401</v>
      </c>
      <c r="C104" s="77">
        <v>60</v>
      </c>
      <c r="D104" s="77" t="s">
        <v>11</v>
      </c>
      <c r="E104" s="78">
        <v>46090</v>
      </c>
      <c r="F104" s="74" t="s">
        <v>335</v>
      </c>
      <c r="G104" s="21">
        <v>1.1719999999999999</v>
      </c>
      <c r="H104" s="21">
        <v>1.2396</v>
      </c>
      <c r="I104" s="77"/>
      <c r="J104" s="98">
        <f t="shared" si="9"/>
        <v>6.7600000000000104E-2</v>
      </c>
      <c r="K104" s="77"/>
      <c r="L104" s="21"/>
      <c r="M104" s="21"/>
      <c r="N104" s="74"/>
      <c r="O104" s="74"/>
      <c r="P104" s="74"/>
      <c r="Q104" s="82"/>
    </row>
    <row r="105" spans="1:17" x14ac:dyDescent="0.35">
      <c r="A105" s="83">
        <v>6</v>
      </c>
      <c r="B105" s="90" t="s">
        <v>401</v>
      </c>
      <c r="C105" s="77">
        <v>60</v>
      </c>
      <c r="D105" s="77" t="s">
        <v>11</v>
      </c>
      <c r="E105" s="78">
        <v>46090</v>
      </c>
      <c r="F105" s="74" t="s">
        <v>336</v>
      </c>
      <c r="G105" s="21">
        <v>1.1843999999999999</v>
      </c>
      <c r="H105" s="21">
        <v>1.2304999999999999</v>
      </c>
      <c r="I105" s="77"/>
      <c r="J105" s="98">
        <f t="shared" si="9"/>
        <v>4.610000000000003E-2</v>
      </c>
      <c r="K105" s="77"/>
      <c r="L105" s="21"/>
      <c r="M105" s="21"/>
      <c r="N105" s="74"/>
      <c r="O105" s="74"/>
      <c r="P105" s="74"/>
      <c r="Q105" s="82"/>
    </row>
    <row r="106" spans="1:17" x14ac:dyDescent="0.35">
      <c r="A106" s="83">
        <v>6</v>
      </c>
      <c r="B106" s="90" t="s">
        <v>401</v>
      </c>
      <c r="C106" s="77">
        <v>60</v>
      </c>
      <c r="D106" s="77" t="s">
        <v>11</v>
      </c>
      <c r="E106" s="78">
        <v>46090</v>
      </c>
      <c r="F106" s="74" t="s">
        <v>337</v>
      </c>
      <c r="G106" s="21">
        <v>1.1698999999999999</v>
      </c>
      <c r="H106" s="21">
        <v>1.2301</v>
      </c>
      <c r="I106" s="77"/>
      <c r="J106" s="98">
        <f t="shared" si="9"/>
        <v>6.0200000000000031E-2</v>
      </c>
      <c r="K106" s="77"/>
      <c r="L106" s="21"/>
      <c r="M106" s="21"/>
      <c r="N106" s="74"/>
      <c r="O106" s="74"/>
      <c r="P106" s="74"/>
      <c r="Q106" s="82"/>
    </row>
    <row r="107" spans="1:17" x14ac:dyDescent="0.35">
      <c r="A107" s="83">
        <v>6</v>
      </c>
      <c r="B107" s="90" t="s">
        <v>401</v>
      </c>
      <c r="C107" s="77">
        <v>60</v>
      </c>
      <c r="D107" s="77" t="s">
        <v>11</v>
      </c>
      <c r="E107" s="78">
        <v>46090</v>
      </c>
      <c r="F107" s="74" t="s">
        <v>338</v>
      </c>
      <c r="G107" s="21">
        <v>1.1761999999999999</v>
      </c>
      <c r="H107" s="21">
        <v>1.2439</v>
      </c>
      <c r="I107" s="77"/>
      <c r="J107" s="98">
        <f t="shared" si="9"/>
        <v>6.7700000000000093E-2</v>
      </c>
      <c r="K107" s="77"/>
      <c r="L107" s="21"/>
      <c r="M107" s="21"/>
      <c r="N107" s="74"/>
      <c r="O107" s="74"/>
      <c r="P107" s="74"/>
      <c r="Q107" s="82"/>
    </row>
    <row r="108" spans="1:17" x14ac:dyDescent="0.35">
      <c r="A108" s="79">
        <v>9</v>
      </c>
      <c r="B108" s="88" t="s">
        <v>401</v>
      </c>
      <c r="C108" s="71">
        <v>60</v>
      </c>
      <c r="D108" s="71" t="s">
        <v>10</v>
      </c>
      <c r="E108" s="72">
        <v>46111</v>
      </c>
      <c r="F108" s="71" t="s">
        <v>359</v>
      </c>
      <c r="G108" s="73">
        <v>1.1735</v>
      </c>
      <c r="H108" s="73">
        <v>1.2352000000000001</v>
      </c>
      <c r="I108" s="73">
        <v>1.1677999999999999</v>
      </c>
      <c r="J108" s="94">
        <f>H108-G108</f>
        <v>6.1700000000000088E-2</v>
      </c>
      <c r="K108" s="73">
        <f>AVERAGE(J108:J112)</f>
        <v>5.1140000000000005E-2</v>
      </c>
      <c r="L108" s="73">
        <f>SUM(J109)</f>
        <v>7.1399999999999908E-2</v>
      </c>
      <c r="M108" s="73">
        <f>SUM(J110)</f>
        <v>3.3700000000000063E-2</v>
      </c>
      <c r="N108" s="73">
        <f>SUM(I108-G108)</f>
        <v>-5.7000000000000384E-3</v>
      </c>
      <c r="O108" s="73">
        <f>AVERAGE(N108:N112)</f>
        <v>1.0800000000000143E-3</v>
      </c>
      <c r="P108" s="73">
        <f>SUM(N110)</f>
        <v>9.100000000000108E-3</v>
      </c>
      <c r="Q108" s="80">
        <f>SUM(N108)</f>
        <v>-5.7000000000000384E-3</v>
      </c>
    </row>
    <row r="109" spans="1:17" x14ac:dyDescent="0.35">
      <c r="A109" s="79">
        <v>9</v>
      </c>
      <c r="B109" s="88" t="s">
        <v>401</v>
      </c>
      <c r="C109" s="71">
        <v>60</v>
      </c>
      <c r="D109" s="71" t="s">
        <v>10</v>
      </c>
      <c r="E109" s="72">
        <v>46111</v>
      </c>
      <c r="F109" s="71" t="s">
        <v>360</v>
      </c>
      <c r="G109" s="73">
        <v>1.1708000000000001</v>
      </c>
      <c r="H109" s="73">
        <v>1.2422</v>
      </c>
      <c r="I109" s="73">
        <v>1.1748000000000001</v>
      </c>
      <c r="J109" s="94">
        <f t="shared" ref="J109:J117" si="10">H109-G109</f>
        <v>7.1399999999999908E-2</v>
      </c>
      <c r="K109" s="73"/>
      <c r="L109" s="73"/>
      <c r="M109" s="73"/>
      <c r="N109" s="73">
        <f>SUM(I109-G109)</f>
        <v>4.0000000000000036E-3</v>
      </c>
      <c r="O109" s="71"/>
      <c r="P109" s="71"/>
      <c r="Q109" s="81"/>
    </row>
    <row r="110" spans="1:17" x14ac:dyDescent="0.35">
      <c r="A110" s="79">
        <v>9</v>
      </c>
      <c r="B110" s="88" t="s">
        <v>401</v>
      </c>
      <c r="C110" s="71">
        <v>60</v>
      </c>
      <c r="D110" s="71" t="s">
        <v>10</v>
      </c>
      <c r="E110" s="72">
        <v>46111</v>
      </c>
      <c r="F110" s="71" t="s">
        <v>361</v>
      </c>
      <c r="G110" s="73">
        <v>1.1678999999999999</v>
      </c>
      <c r="H110" s="73">
        <v>1.2016</v>
      </c>
      <c r="I110" s="73">
        <v>1.177</v>
      </c>
      <c r="J110" s="94">
        <f t="shared" si="10"/>
        <v>3.3700000000000063E-2</v>
      </c>
      <c r="K110" s="73"/>
      <c r="L110" s="73"/>
      <c r="M110" s="73"/>
      <c r="N110" s="73">
        <f>SUM(I110-G110)</f>
        <v>9.100000000000108E-3</v>
      </c>
      <c r="O110" s="71"/>
      <c r="P110" s="71"/>
      <c r="Q110" s="81"/>
    </row>
    <row r="111" spans="1:17" x14ac:dyDescent="0.35">
      <c r="A111" s="79">
        <v>9</v>
      </c>
      <c r="B111" s="88" t="s">
        <v>401</v>
      </c>
      <c r="C111" s="71">
        <v>60</v>
      </c>
      <c r="D111" s="71" t="s">
        <v>10</v>
      </c>
      <c r="E111" s="72">
        <v>46111</v>
      </c>
      <c r="F111" s="71" t="s">
        <v>362</v>
      </c>
      <c r="G111" s="73">
        <v>1.1700999999999999</v>
      </c>
      <c r="H111" s="73">
        <v>1.2164999999999999</v>
      </c>
      <c r="I111" s="73">
        <v>1.1695</v>
      </c>
      <c r="J111" s="94">
        <f t="shared" si="10"/>
        <v>4.6399999999999997E-2</v>
      </c>
      <c r="K111" s="73"/>
      <c r="L111" s="73"/>
      <c r="M111" s="73"/>
      <c r="N111" s="73">
        <f>SUM(I111-G111)</f>
        <v>-5.9999999999993392E-4</v>
      </c>
      <c r="O111" s="71"/>
      <c r="P111" s="71"/>
      <c r="Q111" s="81"/>
    </row>
    <row r="112" spans="1:17" x14ac:dyDescent="0.35">
      <c r="A112" s="79">
        <v>9</v>
      </c>
      <c r="B112" s="88" t="s">
        <v>401</v>
      </c>
      <c r="C112" s="71">
        <v>60</v>
      </c>
      <c r="D112" s="71" t="s">
        <v>10</v>
      </c>
      <c r="E112" s="72">
        <v>46111</v>
      </c>
      <c r="F112" s="71" t="s">
        <v>363</v>
      </c>
      <c r="G112" s="73">
        <v>1.1736</v>
      </c>
      <c r="H112" s="73">
        <v>1.2161</v>
      </c>
      <c r="I112" s="73">
        <v>1.1721999999999999</v>
      </c>
      <c r="J112" s="94">
        <f t="shared" si="10"/>
        <v>4.2499999999999982E-2</v>
      </c>
      <c r="K112" s="73"/>
      <c r="L112" s="73"/>
      <c r="M112" s="73"/>
      <c r="N112" s="73">
        <f>SUM(I112-G112)</f>
        <v>-1.4000000000000679E-3</v>
      </c>
      <c r="O112" s="71"/>
      <c r="P112" s="71"/>
      <c r="Q112" s="81"/>
    </row>
    <row r="113" spans="1:17" x14ac:dyDescent="0.35">
      <c r="A113" s="83">
        <v>9</v>
      </c>
      <c r="B113" s="90" t="s">
        <v>401</v>
      </c>
      <c r="C113" s="77">
        <v>60</v>
      </c>
      <c r="D113" s="74" t="s">
        <v>11</v>
      </c>
      <c r="E113" s="75">
        <v>46111</v>
      </c>
      <c r="F113" s="74" t="s">
        <v>364</v>
      </c>
      <c r="G113" s="21">
        <v>1.1779999999999999</v>
      </c>
      <c r="H113" s="21">
        <v>1.2153</v>
      </c>
      <c r="I113" s="74"/>
      <c r="J113" s="95">
        <f t="shared" si="10"/>
        <v>3.7300000000000111E-2</v>
      </c>
      <c r="K113" s="21">
        <f>AVERAGE(J113:J117)</f>
        <v>4.3180000000000038E-2</v>
      </c>
      <c r="L113" s="21">
        <f>SUM(J117)</f>
        <v>5.9800000000000075E-2</v>
      </c>
      <c r="M113" s="21">
        <f>SUM(J116)</f>
        <v>3.2599999999999962E-2</v>
      </c>
      <c r="N113" s="74"/>
      <c r="O113" s="74"/>
      <c r="P113" s="74"/>
      <c r="Q113" s="82"/>
    </row>
    <row r="114" spans="1:17" x14ac:dyDescent="0.35">
      <c r="A114" s="83">
        <v>9</v>
      </c>
      <c r="B114" s="90" t="s">
        <v>401</v>
      </c>
      <c r="C114" s="77">
        <v>60</v>
      </c>
      <c r="D114" s="74" t="s">
        <v>11</v>
      </c>
      <c r="E114" s="75">
        <v>46111</v>
      </c>
      <c r="F114" s="74" t="s">
        <v>365</v>
      </c>
      <c r="G114" s="21">
        <v>1.1697</v>
      </c>
      <c r="H114" s="21">
        <v>1.2050000000000001</v>
      </c>
      <c r="I114" s="74"/>
      <c r="J114" s="95">
        <f t="shared" si="10"/>
        <v>3.5300000000000109E-2</v>
      </c>
      <c r="K114" s="74"/>
      <c r="L114" s="21"/>
      <c r="M114" s="21"/>
      <c r="N114" s="74"/>
      <c r="O114" s="74"/>
      <c r="P114" s="74"/>
      <c r="Q114" s="82"/>
    </row>
    <row r="115" spans="1:17" x14ac:dyDescent="0.35">
      <c r="A115" s="83">
        <v>9</v>
      </c>
      <c r="B115" s="90" t="s">
        <v>401</v>
      </c>
      <c r="C115" s="77">
        <v>60</v>
      </c>
      <c r="D115" s="74" t="s">
        <v>11</v>
      </c>
      <c r="E115" s="75">
        <v>46111</v>
      </c>
      <c r="F115" s="74" t="s">
        <v>366</v>
      </c>
      <c r="G115" s="21">
        <v>1.1745000000000001</v>
      </c>
      <c r="H115" s="21">
        <v>1.2254</v>
      </c>
      <c r="I115" s="74"/>
      <c r="J115" s="95">
        <f t="shared" si="10"/>
        <v>5.0899999999999945E-2</v>
      </c>
      <c r="K115" s="74"/>
      <c r="L115" s="21"/>
      <c r="M115" s="21"/>
      <c r="N115" s="74"/>
      <c r="O115" s="74"/>
      <c r="P115" s="74"/>
      <c r="Q115" s="82"/>
    </row>
    <row r="116" spans="1:17" x14ac:dyDescent="0.35">
      <c r="A116" s="83">
        <v>9</v>
      </c>
      <c r="B116" s="90" t="s">
        <v>401</v>
      </c>
      <c r="C116" s="77">
        <v>60</v>
      </c>
      <c r="D116" s="74" t="s">
        <v>11</v>
      </c>
      <c r="E116" s="75">
        <v>46111</v>
      </c>
      <c r="F116" s="74" t="s">
        <v>367</v>
      </c>
      <c r="G116" s="21">
        <v>1.1800999999999999</v>
      </c>
      <c r="H116" s="21">
        <v>1.2126999999999999</v>
      </c>
      <c r="I116" s="74"/>
      <c r="J116" s="95">
        <f t="shared" si="10"/>
        <v>3.2599999999999962E-2</v>
      </c>
      <c r="K116" s="74"/>
      <c r="L116" s="21"/>
      <c r="M116" s="21"/>
      <c r="N116" s="74"/>
      <c r="O116" s="74"/>
      <c r="P116" s="74"/>
      <c r="Q116" s="82"/>
    </row>
    <row r="117" spans="1:17" x14ac:dyDescent="0.35">
      <c r="A117" s="83">
        <v>9</v>
      </c>
      <c r="B117" s="90" t="s">
        <v>401</v>
      </c>
      <c r="C117" s="77">
        <v>60</v>
      </c>
      <c r="D117" s="74" t="s">
        <v>11</v>
      </c>
      <c r="E117" s="75">
        <v>46111</v>
      </c>
      <c r="F117" s="74" t="s">
        <v>368</v>
      </c>
      <c r="G117" s="21">
        <v>1.1733</v>
      </c>
      <c r="H117" s="21">
        <v>1.2331000000000001</v>
      </c>
      <c r="I117" s="74"/>
      <c r="J117" s="95">
        <f t="shared" si="10"/>
        <v>5.9800000000000075E-2</v>
      </c>
      <c r="K117" s="74"/>
      <c r="L117" s="21"/>
      <c r="M117" s="21"/>
      <c r="N117" s="74"/>
      <c r="O117" s="74"/>
      <c r="P117" s="74"/>
      <c r="Q117" s="82"/>
    </row>
    <row r="118" spans="1:17" x14ac:dyDescent="0.35">
      <c r="A118" s="79">
        <v>12</v>
      </c>
      <c r="B118" s="88" t="s">
        <v>401</v>
      </c>
      <c r="C118" s="71">
        <v>60</v>
      </c>
      <c r="D118" s="71" t="s">
        <v>10</v>
      </c>
      <c r="E118" s="72">
        <v>46133</v>
      </c>
      <c r="F118" s="71" t="s">
        <v>468</v>
      </c>
      <c r="G118" s="73">
        <v>1.173</v>
      </c>
      <c r="H118" s="73">
        <v>1.2330000000000001</v>
      </c>
      <c r="I118" s="73">
        <v>1.1657</v>
      </c>
      <c r="J118" s="94">
        <f>SUM(H118-G118)</f>
        <v>6.0000000000000053E-2</v>
      </c>
      <c r="K118" s="73">
        <f>AVERAGE(J118:J122)</f>
        <v>6.0399999999999968E-2</v>
      </c>
      <c r="L118" s="73">
        <f>SUM(J121)</f>
        <v>7.0699999999999985E-2</v>
      </c>
      <c r="M118" s="73">
        <f>SUM(J122)</f>
        <v>4.7899999999999832E-2</v>
      </c>
      <c r="N118" s="73">
        <f>SUM(I118-G118)</f>
        <v>-7.3000000000000842E-3</v>
      </c>
      <c r="O118" s="73">
        <f>AVERAGE(N118:N122)</f>
        <v>3.2999999999999917E-3</v>
      </c>
      <c r="P118" s="73">
        <f>SUM(N119)</f>
        <v>1.4499999999999957E-2</v>
      </c>
      <c r="Q118" s="80">
        <f>SUM(N118)</f>
        <v>-7.3000000000000842E-3</v>
      </c>
    </row>
    <row r="119" spans="1:17" x14ac:dyDescent="0.35">
      <c r="A119" s="79">
        <v>12</v>
      </c>
      <c r="B119" s="88" t="s">
        <v>401</v>
      </c>
      <c r="C119" s="71">
        <v>60</v>
      </c>
      <c r="D119" s="71" t="s">
        <v>10</v>
      </c>
      <c r="E119" s="72">
        <v>46133</v>
      </c>
      <c r="F119" s="71" t="s">
        <v>469</v>
      </c>
      <c r="G119" s="73">
        <v>1.1625000000000001</v>
      </c>
      <c r="H119" s="73">
        <v>1.2281</v>
      </c>
      <c r="I119" s="73">
        <v>1.177</v>
      </c>
      <c r="J119" s="94">
        <f t="shared" ref="J119:J127" si="11">SUM(H119-G119)</f>
        <v>6.5599999999999881E-2</v>
      </c>
      <c r="K119" s="71"/>
      <c r="L119" s="71"/>
      <c r="M119" s="71"/>
      <c r="N119" s="73">
        <f>SUM(I119-G119)</f>
        <v>1.4499999999999957E-2</v>
      </c>
      <c r="O119" s="71"/>
      <c r="P119" s="71"/>
      <c r="Q119" s="81"/>
    </row>
    <row r="120" spans="1:17" x14ac:dyDescent="0.35">
      <c r="A120" s="79">
        <v>12</v>
      </c>
      <c r="B120" s="88" t="s">
        <v>401</v>
      </c>
      <c r="C120" s="71">
        <v>60</v>
      </c>
      <c r="D120" s="71" t="s">
        <v>10</v>
      </c>
      <c r="E120" s="72">
        <v>46133</v>
      </c>
      <c r="F120" s="71" t="s">
        <v>470</v>
      </c>
      <c r="G120" s="73">
        <v>1.1732</v>
      </c>
      <c r="H120" s="73">
        <v>1.2310000000000001</v>
      </c>
      <c r="I120" s="73">
        <v>1.1728000000000001</v>
      </c>
      <c r="J120" s="94">
        <f t="shared" si="11"/>
        <v>5.7800000000000074E-2</v>
      </c>
      <c r="K120" s="71"/>
      <c r="L120" s="71"/>
      <c r="M120" s="71"/>
      <c r="N120" s="73">
        <f>SUM(I120-G120)</f>
        <v>-3.9999999999995595E-4</v>
      </c>
      <c r="O120" s="71"/>
      <c r="P120" s="71"/>
      <c r="Q120" s="81"/>
    </row>
    <row r="121" spans="1:17" x14ac:dyDescent="0.35">
      <c r="A121" s="79">
        <v>12</v>
      </c>
      <c r="B121" s="88" t="s">
        <v>401</v>
      </c>
      <c r="C121" s="71">
        <v>60</v>
      </c>
      <c r="D121" s="71" t="s">
        <v>10</v>
      </c>
      <c r="E121" s="72">
        <v>46133</v>
      </c>
      <c r="F121" s="71" t="s">
        <v>471</v>
      </c>
      <c r="G121" s="73">
        <v>1.1680999999999999</v>
      </c>
      <c r="H121" s="73">
        <v>1.2387999999999999</v>
      </c>
      <c r="I121" s="73">
        <v>1.1694</v>
      </c>
      <c r="J121" s="94">
        <f t="shared" si="11"/>
        <v>7.0699999999999985E-2</v>
      </c>
      <c r="K121" s="71"/>
      <c r="L121" s="71"/>
      <c r="M121" s="71"/>
      <c r="N121" s="73">
        <f>SUM(I121-G121)</f>
        <v>1.3000000000000789E-3</v>
      </c>
      <c r="O121" s="71"/>
      <c r="P121" s="71"/>
      <c r="Q121" s="81"/>
    </row>
    <row r="122" spans="1:17" x14ac:dyDescent="0.35">
      <c r="A122" s="79">
        <v>12</v>
      </c>
      <c r="B122" s="88" t="s">
        <v>401</v>
      </c>
      <c r="C122" s="71">
        <v>60</v>
      </c>
      <c r="D122" s="71" t="s">
        <v>10</v>
      </c>
      <c r="E122" s="72">
        <v>46133</v>
      </c>
      <c r="F122" s="71" t="s">
        <v>472</v>
      </c>
      <c r="G122" s="73">
        <v>1.1666000000000001</v>
      </c>
      <c r="H122" s="73">
        <v>1.2144999999999999</v>
      </c>
      <c r="I122" s="73">
        <v>1.175</v>
      </c>
      <c r="J122" s="94">
        <f t="shared" si="11"/>
        <v>4.7899999999999832E-2</v>
      </c>
      <c r="K122" s="71"/>
      <c r="L122" s="71"/>
      <c r="M122" s="71"/>
      <c r="N122" s="73">
        <f>SUM(I122-G122)</f>
        <v>8.3999999999999631E-3</v>
      </c>
      <c r="O122" s="71"/>
      <c r="P122" s="71"/>
      <c r="Q122" s="81"/>
    </row>
    <row r="123" spans="1:17" x14ac:dyDescent="0.35">
      <c r="A123" s="83">
        <v>12</v>
      </c>
      <c r="B123" s="90" t="s">
        <v>401</v>
      </c>
      <c r="C123" s="77">
        <v>60</v>
      </c>
      <c r="D123" s="74" t="s">
        <v>11</v>
      </c>
      <c r="E123" s="75">
        <v>46133</v>
      </c>
      <c r="F123" s="74" t="s">
        <v>473</v>
      </c>
      <c r="G123" s="21">
        <v>1.1716</v>
      </c>
      <c r="H123" s="21">
        <v>1.2503</v>
      </c>
      <c r="I123" s="74"/>
      <c r="J123" s="95">
        <f t="shared" si="11"/>
        <v>7.8699999999999992E-2</v>
      </c>
      <c r="K123" s="21">
        <f>AVERAGE(J123:J127)</f>
        <v>6.608E-2</v>
      </c>
      <c r="L123" s="21">
        <f>SUM(J123)</f>
        <v>7.8699999999999992E-2</v>
      </c>
      <c r="M123" s="21">
        <f>SUM(J127)</f>
        <v>5.2900000000000169E-2</v>
      </c>
      <c r="N123" s="74"/>
      <c r="O123" s="74"/>
      <c r="P123" s="74"/>
      <c r="Q123" s="82"/>
    </row>
    <row r="124" spans="1:17" x14ac:dyDescent="0.35">
      <c r="A124" s="83">
        <v>12</v>
      </c>
      <c r="B124" s="90" t="s">
        <v>401</v>
      </c>
      <c r="C124" s="77">
        <v>60</v>
      </c>
      <c r="D124" s="74" t="s">
        <v>11</v>
      </c>
      <c r="E124" s="75">
        <v>46133</v>
      </c>
      <c r="F124" s="74" t="s">
        <v>474</v>
      </c>
      <c r="G124" s="21">
        <v>1.1754</v>
      </c>
      <c r="H124" s="21">
        <v>1.248</v>
      </c>
      <c r="I124" s="74"/>
      <c r="J124" s="95">
        <f t="shared" si="11"/>
        <v>7.2599999999999998E-2</v>
      </c>
      <c r="K124" s="74"/>
      <c r="L124" s="74"/>
      <c r="M124" s="74"/>
      <c r="N124" s="74"/>
      <c r="O124" s="74"/>
      <c r="P124" s="74"/>
      <c r="Q124" s="82"/>
    </row>
    <row r="125" spans="1:17" x14ac:dyDescent="0.35">
      <c r="A125" s="83">
        <v>12</v>
      </c>
      <c r="B125" s="90" t="s">
        <v>401</v>
      </c>
      <c r="C125" s="77">
        <v>60</v>
      </c>
      <c r="D125" s="74" t="s">
        <v>11</v>
      </c>
      <c r="E125" s="75">
        <v>46133</v>
      </c>
      <c r="F125" s="74" t="s">
        <v>475</v>
      </c>
      <c r="G125" s="21">
        <v>1.1728000000000001</v>
      </c>
      <c r="H125" s="21">
        <v>1.2263999999999999</v>
      </c>
      <c r="I125" s="74"/>
      <c r="J125" s="95">
        <f t="shared" si="11"/>
        <v>5.359999999999987E-2</v>
      </c>
      <c r="K125" s="74"/>
      <c r="L125" s="74"/>
      <c r="M125" s="74"/>
      <c r="N125" s="74"/>
      <c r="O125" s="74"/>
      <c r="P125" s="74"/>
      <c r="Q125" s="82"/>
    </row>
    <row r="126" spans="1:17" x14ac:dyDescent="0.35">
      <c r="A126" s="83">
        <v>12</v>
      </c>
      <c r="B126" s="90" t="s">
        <v>401</v>
      </c>
      <c r="C126" s="77">
        <v>60</v>
      </c>
      <c r="D126" s="74" t="s">
        <v>11</v>
      </c>
      <c r="E126" s="75">
        <v>46133</v>
      </c>
      <c r="F126" s="74" t="s">
        <v>476</v>
      </c>
      <c r="G126" s="21">
        <v>1.1802999999999999</v>
      </c>
      <c r="H126" s="21">
        <v>1.2528999999999999</v>
      </c>
      <c r="I126" s="74"/>
      <c r="J126" s="95">
        <f t="shared" si="11"/>
        <v>7.2599999999999998E-2</v>
      </c>
      <c r="K126" s="74"/>
      <c r="L126" s="74"/>
      <c r="M126" s="74"/>
      <c r="N126" s="74"/>
      <c r="O126" s="74"/>
      <c r="P126" s="74"/>
      <c r="Q126" s="82"/>
    </row>
    <row r="127" spans="1:17" ht="15" thickBot="1" x14ac:dyDescent="0.4">
      <c r="A127" s="87">
        <v>12</v>
      </c>
      <c r="B127" s="90" t="s">
        <v>401</v>
      </c>
      <c r="C127" s="106">
        <v>60</v>
      </c>
      <c r="D127" s="84" t="s">
        <v>11</v>
      </c>
      <c r="E127" s="85">
        <v>46133</v>
      </c>
      <c r="F127" s="74" t="s">
        <v>477</v>
      </c>
      <c r="G127" s="21">
        <v>1.1759999999999999</v>
      </c>
      <c r="H127" s="21">
        <v>1.2289000000000001</v>
      </c>
      <c r="I127" s="74"/>
      <c r="J127" s="99">
        <f t="shared" si="11"/>
        <v>5.2900000000000169E-2</v>
      </c>
      <c r="K127" s="84"/>
      <c r="L127" s="84"/>
      <c r="M127" s="84"/>
      <c r="N127" s="84"/>
      <c r="O127" s="84"/>
      <c r="P127" s="84"/>
      <c r="Q127" s="86"/>
    </row>
  </sheetData>
  <mergeCells count="3">
    <mergeCell ref="A46:Q46"/>
    <mergeCell ref="A5:Q5"/>
    <mergeCell ref="A87:Q87"/>
  </mergeCells>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CE47B-DE67-42C6-BA22-2234C517993B}">
  <dimension ref="A1:M90"/>
  <sheetViews>
    <sheetView zoomScale="80" zoomScaleNormal="80" workbookViewId="0">
      <selection activeCell="R5" sqref="R5"/>
    </sheetView>
  </sheetViews>
  <sheetFormatPr baseColWidth="10" defaultRowHeight="14.5" x14ac:dyDescent="0.35"/>
  <sheetData>
    <row r="1" spans="1:13" ht="26" x14ac:dyDescent="0.6">
      <c r="A1" s="121" t="s">
        <v>562</v>
      </c>
    </row>
    <row r="2" spans="1:13" ht="26" x14ac:dyDescent="0.6">
      <c r="A2" s="121"/>
    </row>
    <row r="3" spans="1:13" x14ac:dyDescent="0.35">
      <c r="A3" s="182" t="s">
        <v>528</v>
      </c>
      <c r="B3" s="182"/>
      <c r="C3" s="182"/>
      <c r="D3" s="182"/>
      <c r="E3" s="182"/>
      <c r="F3" s="182"/>
      <c r="G3" s="182"/>
      <c r="H3" s="182"/>
      <c r="I3" s="182"/>
    </row>
    <row r="4" spans="1:13" x14ac:dyDescent="0.35">
      <c r="A4" s="182"/>
      <c r="B4" s="182"/>
      <c r="C4" s="182"/>
      <c r="D4" s="182"/>
      <c r="E4" s="182"/>
      <c r="F4" s="182"/>
      <c r="G4" s="182"/>
      <c r="H4" s="182"/>
      <c r="I4" s="182"/>
    </row>
    <row r="5" spans="1:13" x14ac:dyDescent="0.35">
      <c r="A5" s="129"/>
      <c r="B5" s="129"/>
      <c r="C5" s="129"/>
      <c r="D5" s="129"/>
      <c r="E5" s="129"/>
      <c r="F5" s="129"/>
      <c r="G5" s="129"/>
      <c r="H5" s="129"/>
    </row>
    <row r="6" spans="1:13" x14ac:dyDescent="0.35">
      <c r="A6" s="129"/>
      <c r="B6" s="129"/>
      <c r="C6" s="129"/>
      <c r="D6" s="129"/>
      <c r="E6" s="129"/>
      <c r="F6" s="129"/>
      <c r="G6" s="129"/>
      <c r="H6" s="129"/>
    </row>
    <row r="7" spans="1:13" ht="23.5" x14ac:dyDescent="0.55000000000000004">
      <c r="A7" s="127" t="s">
        <v>497</v>
      </c>
    </row>
    <row r="9" spans="1:13" ht="18.5" x14ac:dyDescent="0.45">
      <c r="A9" s="109" t="s">
        <v>500</v>
      </c>
    </row>
    <row r="10" spans="1:13" ht="18.5" x14ac:dyDescent="0.45">
      <c r="A10" s="128"/>
    </row>
    <row r="11" spans="1:13" ht="18.5" x14ac:dyDescent="0.45">
      <c r="B11" s="175" t="s">
        <v>485</v>
      </c>
      <c r="C11" s="175"/>
      <c r="D11" s="175" t="s">
        <v>486</v>
      </c>
      <c r="E11" s="175"/>
      <c r="F11" s="175" t="s">
        <v>487</v>
      </c>
      <c r="G11" s="175"/>
      <c r="K11" s="123"/>
      <c r="L11" s="123"/>
      <c r="M11" s="123"/>
    </row>
    <row r="12" spans="1:13" ht="18.5" x14ac:dyDescent="0.45">
      <c r="A12" s="133" t="s">
        <v>432</v>
      </c>
      <c r="B12" s="133" t="s">
        <v>10</v>
      </c>
      <c r="C12" s="133" t="s">
        <v>11</v>
      </c>
      <c r="D12" s="133" t="s">
        <v>10</v>
      </c>
      <c r="E12" s="133" t="s">
        <v>11</v>
      </c>
      <c r="F12" s="133" t="s">
        <v>10</v>
      </c>
      <c r="G12" s="133" t="s">
        <v>11</v>
      </c>
      <c r="J12" s="123"/>
      <c r="K12" s="123"/>
      <c r="L12" s="123"/>
      <c r="M12" s="123"/>
    </row>
    <row r="13" spans="1:13" x14ac:dyDescent="0.35">
      <c r="A13" s="114">
        <v>3</v>
      </c>
      <c r="B13" s="21">
        <v>1.6120000000000044E-2</v>
      </c>
      <c r="C13" s="21">
        <v>2.18E-2</v>
      </c>
      <c r="D13" s="21">
        <v>4.6300000000000001E-2</v>
      </c>
      <c r="E13" s="21">
        <v>1.8599999999999998E-2</v>
      </c>
      <c r="F13" s="21">
        <v>2.2740000000000028E-2</v>
      </c>
      <c r="G13" s="21">
        <v>2.2359999999999981E-2</v>
      </c>
      <c r="J13" s="124"/>
      <c r="K13" s="30"/>
      <c r="L13" s="30"/>
      <c r="M13" s="30"/>
    </row>
    <row r="14" spans="1:13" x14ac:dyDescent="0.35">
      <c r="A14" s="114">
        <v>6</v>
      </c>
      <c r="B14" s="21">
        <v>2.1600000000000001E-2</v>
      </c>
      <c r="C14" s="21">
        <v>3.6299999999999999E-2</v>
      </c>
      <c r="D14" s="21">
        <v>5.3800000000000001E-2</v>
      </c>
      <c r="E14" s="21">
        <v>6.581999999999999E-2</v>
      </c>
      <c r="F14" s="21">
        <v>5.7779999999999984E-2</v>
      </c>
      <c r="G14" s="21">
        <v>6.0320000000000061E-2</v>
      </c>
      <c r="J14" s="124"/>
      <c r="K14" s="30"/>
      <c r="L14" s="30"/>
      <c r="M14" s="30"/>
    </row>
    <row r="15" spans="1:13" x14ac:dyDescent="0.35">
      <c r="A15" s="114">
        <v>9</v>
      </c>
      <c r="B15" s="21">
        <v>2.7199999999999998E-2</v>
      </c>
      <c r="C15" s="74">
        <v>3.5400000000000001E-2</v>
      </c>
      <c r="D15" s="21">
        <v>5.6000000000000001E-2</v>
      </c>
      <c r="E15" s="21">
        <v>4.6300000000000001E-2</v>
      </c>
      <c r="F15" s="74">
        <v>5.11E-2</v>
      </c>
      <c r="G15" s="21">
        <v>4.3180000000000038E-2</v>
      </c>
      <c r="J15" s="124"/>
      <c r="K15" s="30"/>
      <c r="L15" s="30"/>
      <c r="M15" s="30"/>
    </row>
    <row r="16" spans="1:13" x14ac:dyDescent="0.35">
      <c r="A16" s="114">
        <v>12</v>
      </c>
      <c r="B16" s="21">
        <v>2.7099999999999999E-2</v>
      </c>
      <c r="C16" s="74">
        <v>3.4099999999999998E-2</v>
      </c>
      <c r="D16" s="21">
        <v>5.2299999999999999E-2</v>
      </c>
      <c r="E16" s="21">
        <v>5.826000000000002E-2</v>
      </c>
      <c r="F16" s="21">
        <v>6.0399999999999968E-2</v>
      </c>
      <c r="G16" s="21">
        <v>6.608E-2</v>
      </c>
      <c r="J16" s="124"/>
      <c r="K16" s="30"/>
      <c r="L16" s="30"/>
      <c r="M16" s="30"/>
    </row>
    <row r="18" spans="1:13" x14ac:dyDescent="0.35">
      <c r="A18" t="s">
        <v>529</v>
      </c>
    </row>
    <row r="21" spans="1:13" ht="18.5" x14ac:dyDescent="0.45">
      <c r="A21" s="109" t="s">
        <v>499</v>
      </c>
    </row>
    <row r="23" spans="1:13" ht="18.5" x14ac:dyDescent="0.45">
      <c r="B23" s="180" t="s">
        <v>485</v>
      </c>
      <c r="C23" s="178"/>
      <c r="D23" s="178"/>
      <c r="E23" s="179"/>
      <c r="F23" s="180" t="s">
        <v>486</v>
      </c>
      <c r="G23" s="178"/>
      <c r="H23" s="178"/>
      <c r="I23" s="179"/>
      <c r="J23" s="180" t="s">
        <v>487</v>
      </c>
      <c r="K23" s="178"/>
      <c r="L23" s="178"/>
      <c r="M23" s="179"/>
    </row>
    <row r="24" spans="1:13" ht="18.5" x14ac:dyDescent="0.45">
      <c r="B24" s="176" t="s">
        <v>10</v>
      </c>
      <c r="C24" s="177"/>
      <c r="D24" s="176" t="s">
        <v>11</v>
      </c>
      <c r="E24" s="177"/>
      <c r="F24" s="176" t="s">
        <v>10</v>
      </c>
      <c r="G24" s="177"/>
      <c r="H24" s="176" t="s">
        <v>11</v>
      </c>
      <c r="I24" s="177"/>
      <c r="J24" s="176" t="s">
        <v>10</v>
      </c>
      <c r="K24" s="177"/>
      <c r="L24" s="176" t="s">
        <v>11</v>
      </c>
      <c r="M24" s="177"/>
    </row>
    <row r="25" spans="1:13" ht="18.5" x14ac:dyDescent="0.45">
      <c r="A25" s="133" t="s">
        <v>432</v>
      </c>
      <c r="B25" s="133" t="s">
        <v>488</v>
      </c>
      <c r="C25" s="133" t="s">
        <v>434</v>
      </c>
      <c r="D25" s="133" t="s">
        <v>488</v>
      </c>
      <c r="E25" s="133" t="s">
        <v>434</v>
      </c>
      <c r="F25" s="133" t="s">
        <v>488</v>
      </c>
      <c r="G25" s="133" t="s">
        <v>434</v>
      </c>
      <c r="H25" s="133" t="s">
        <v>488</v>
      </c>
      <c r="I25" s="133" t="s">
        <v>434</v>
      </c>
      <c r="J25" s="133" t="s">
        <v>488</v>
      </c>
      <c r="K25" s="133" t="s">
        <v>434</v>
      </c>
      <c r="L25" s="133" t="s">
        <v>488</v>
      </c>
      <c r="M25" s="133" t="s">
        <v>434</v>
      </c>
    </row>
    <row r="26" spans="1:13" x14ac:dyDescent="0.35">
      <c r="A26" s="114">
        <v>3</v>
      </c>
      <c r="B26" s="21">
        <v>1.7299999999999999E-2</v>
      </c>
      <c r="C26" s="21">
        <v>1.6800000000000148E-2</v>
      </c>
      <c r="D26" s="21">
        <v>3.069999999999995E-2</v>
      </c>
      <c r="E26" s="21">
        <v>1.519999999999988E-2</v>
      </c>
      <c r="F26" s="21">
        <v>5.6900000000000173E-2</v>
      </c>
      <c r="G26" s="21">
        <v>3.520000000000012E-2</v>
      </c>
      <c r="H26" s="21">
        <v>2.8300000000000214E-2</v>
      </c>
      <c r="I26" s="74">
        <v>1.5100000000000113E-2</v>
      </c>
      <c r="J26" s="21">
        <v>4.1600000000000081E-2</v>
      </c>
      <c r="K26" s="21">
        <v>1.3399999999999856E-2</v>
      </c>
      <c r="L26" s="21">
        <v>3.0599999999999961E-2</v>
      </c>
      <c r="M26" s="21">
        <v>1.7800000000000038E-2</v>
      </c>
    </row>
    <row r="27" spans="1:13" x14ac:dyDescent="0.35">
      <c r="A27" s="114">
        <v>6</v>
      </c>
      <c r="B27" s="74">
        <v>3.4699999999999953E-2</v>
      </c>
      <c r="C27" s="74">
        <v>1.7400000000000082E-2</v>
      </c>
      <c r="D27" s="74">
        <v>5.0699999999999967E-2</v>
      </c>
      <c r="E27" s="21">
        <v>1.9700000000000051E-2</v>
      </c>
      <c r="F27" s="21">
        <v>5.7000000000000162E-2</v>
      </c>
      <c r="G27" s="74">
        <v>4.6300000000000008E-2</v>
      </c>
      <c r="H27" s="74">
        <v>7.790000000000008E-2</v>
      </c>
      <c r="I27" s="74">
        <v>4.7999999999999821E-2</v>
      </c>
      <c r="J27" s="21">
        <v>7.2000000000000064E-2</v>
      </c>
      <c r="K27" s="74">
        <v>4.8200000000000021E-2</v>
      </c>
      <c r="L27" s="21">
        <v>6.7700000000000093E-2</v>
      </c>
      <c r="M27" s="21">
        <v>4.610000000000003E-2</v>
      </c>
    </row>
    <row r="28" spans="1:13" x14ac:dyDescent="0.35">
      <c r="A28" s="114">
        <v>9</v>
      </c>
      <c r="B28">
        <v>3.9099999999999913E-2</v>
      </c>
      <c r="C28" s="74">
        <v>2.0699999999999941E-2</v>
      </c>
      <c r="D28" s="21">
        <v>6.5300000000000136E-2</v>
      </c>
      <c r="E28" s="21">
        <v>1.6199999999999992E-2</v>
      </c>
      <c r="F28" s="74">
        <v>6.6199999999999815E-2</v>
      </c>
      <c r="G28" s="74">
        <v>4.9699999999999855E-2</v>
      </c>
      <c r="H28" s="74">
        <v>6.150000000000011E-2</v>
      </c>
      <c r="I28" s="74">
        <v>3.3499999999999863E-2</v>
      </c>
      <c r="J28" s="74">
        <v>7.1399999999999908E-2</v>
      </c>
      <c r="K28" s="74">
        <v>3.3700000000000063E-2</v>
      </c>
      <c r="L28" s="74">
        <v>5.9800000000000075E-2</v>
      </c>
      <c r="M28" s="74">
        <v>3.2599999999999962E-2</v>
      </c>
    </row>
    <row r="29" spans="1:13" x14ac:dyDescent="0.35">
      <c r="A29" s="114">
        <v>12</v>
      </c>
      <c r="B29" s="21">
        <v>4.0899999999999936E-2</v>
      </c>
      <c r="C29" s="74">
        <v>2.0399999999999974E-2</v>
      </c>
      <c r="D29" s="21">
        <v>4.7800000000000065E-2</v>
      </c>
      <c r="E29" s="74">
        <v>2.2299999999999986E-2</v>
      </c>
      <c r="F29" s="74">
        <v>7.0999999999999952E-2</v>
      </c>
      <c r="G29" s="74">
        <v>3.620000000000001E-2</v>
      </c>
      <c r="H29" s="21">
        <v>6.4400000000000013E-2</v>
      </c>
      <c r="I29" s="21">
        <v>4.6700000000000186E-2</v>
      </c>
      <c r="J29" s="74">
        <v>7.0699999999999985E-2</v>
      </c>
      <c r="K29" s="21">
        <v>4.7899999999999832E-2</v>
      </c>
      <c r="L29" s="21">
        <v>7.8699999999999992E-2</v>
      </c>
      <c r="M29" s="21">
        <v>5.2900000000000169E-2</v>
      </c>
    </row>
    <row r="31" spans="1:13" x14ac:dyDescent="0.35">
      <c r="A31" s="174" t="s">
        <v>530</v>
      </c>
      <c r="B31" s="174"/>
      <c r="C31" s="174"/>
      <c r="D31" s="174"/>
      <c r="E31" s="174"/>
      <c r="F31" s="174"/>
      <c r="G31" s="174"/>
      <c r="H31" s="174"/>
      <c r="I31" s="174"/>
      <c r="J31" s="174"/>
      <c r="K31" s="174"/>
      <c r="L31" s="174"/>
      <c r="M31" s="174"/>
    </row>
    <row r="32" spans="1:13" x14ac:dyDescent="0.35">
      <c r="A32" s="174"/>
      <c r="B32" s="174"/>
      <c r="C32" s="174"/>
      <c r="D32" s="174"/>
      <c r="E32" s="174"/>
      <c r="F32" s="174"/>
      <c r="G32" s="174"/>
      <c r="H32" s="174"/>
      <c r="I32" s="174"/>
      <c r="J32" s="174"/>
      <c r="K32" s="174"/>
      <c r="L32" s="174"/>
      <c r="M32" s="174"/>
    </row>
    <row r="35" spans="1:13" ht="18.5" x14ac:dyDescent="0.45">
      <c r="A35" s="109" t="s">
        <v>508</v>
      </c>
    </row>
    <row r="36" spans="1:13" ht="21" x14ac:dyDescent="0.5">
      <c r="A36" s="115"/>
    </row>
    <row r="37" spans="1:13" ht="18.5" x14ac:dyDescent="0.45">
      <c r="A37" s="126"/>
      <c r="B37" s="178" t="s">
        <v>485</v>
      </c>
      <c r="C37" s="178"/>
      <c r="D37" s="178"/>
      <c r="E37" s="179"/>
      <c r="F37" s="180" t="s">
        <v>486</v>
      </c>
      <c r="G37" s="178"/>
      <c r="H37" s="178"/>
      <c r="I37" s="179"/>
      <c r="J37" s="180" t="s">
        <v>487</v>
      </c>
      <c r="K37" s="178"/>
      <c r="L37" s="178"/>
      <c r="M37" s="179"/>
    </row>
    <row r="38" spans="1:13" ht="18.5" x14ac:dyDescent="0.45">
      <c r="A38" s="138"/>
      <c r="B38" s="181" t="s">
        <v>10</v>
      </c>
      <c r="C38" s="177"/>
      <c r="D38" s="176" t="s">
        <v>11</v>
      </c>
      <c r="E38" s="177"/>
      <c r="F38" s="176" t="s">
        <v>10</v>
      </c>
      <c r="G38" s="177"/>
      <c r="H38" s="176" t="s">
        <v>11</v>
      </c>
      <c r="I38" s="177"/>
      <c r="J38" s="176" t="s">
        <v>10</v>
      </c>
      <c r="K38" s="177"/>
      <c r="L38" s="176" t="s">
        <v>11</v>
      </c>
      <c r="M38" s="177"/>
    </row>
    <row r="39" spans="1:13" ht="30" x14ac:dyDescent="0.45">
      <c r="A39" s="136" t="s">
        <v>432</v>
      </c>
      <c r="B39" s="134" t="s">
        <v>510</v>
      </c>
      <c r="C39" s="134" t="s">
        <v>511</v>
      </c>
      <c r="D39" s="134" t="s">
        <v>510</v>
      </c>
      <c r="E39" s="134" t="s">
        <v>511</v>
      </c>
      <c r="F39" s="134" t="s">
        <v>510</v>
      </c>
      <c r="G39" s="134" t="s">
        <v>511</v>
      </c>
      <c r="H39" s="134" t="s">
        <v>510</v>
      </c>
      <c r="I39" s="134" t="s">
        <v>511</v>
      </c>
      <c r="J39" s="134" t="s">
        <v>510</v>
      </c>
      <c r="K39" s="134" t="s">
        <v>511</v>
      </c>
      <c r="L39" s="134" t="s">
        <v>510</v>
      </c>
      <c r="M39" s="134" t="s">
        <v>511</v>
      </c>
    </row>
    <row r="40" spans="1:13" x14ac:dyDescent="0.35">
      <c r="A40" s="114">
        <v>3</v>
      </c>
      <c r="B40" s="21">
        <f>SUM(B26-B13)</f>
        <v>1.1799999999999554E-3</v>
      </c>
      <c r="C40" s="21">
        <f>C26-B13</f>
        <v>6.8000000000010413E-4</v>
      </c>
      <c r="D40" s="21">
        <f>SUM(D26-C13)</f>
        <v>8.8999999999999496E-3</v>
      </c>
      <c r="E40" s="21">
        <f>SUM(C13-E26)</f>
        <v>6.6000000000001197E-3</v>
      </c>
      <c r="F40" s="21">
        <f>SUM(F26-D13)</f>
        <v>1.0600000000000172E-2</v>
      </c>
      <c r="G40" s="21">
        <f>SUM(D13-G26)</f>
        <v>1.1099999999999881E-2</v>
      </c>
      <c r="H40" s="21">
        <f>SUM(H26-E13)</f>
        <v>9.7000000000002154E-3</v>
      </c>
      <c r="I40" s="21">
        <f>SUM(E13-I26)</f>
        <v>3.4999999999998851E-3</v>
      </c>
      <c r="J40" s="21">
        <f>SUM(J26-F13)</f>
        <v>1.8860000000000054E-2</v>
      </c>
      <c r="K40" s="21">
        <f>SUM(F13-K26)</f>
        <v>9.3400000000001711E-3</v>
      </c>
      <c r="L40" s="21">
        <f>SUM(L26-G13)</f>
        <v>8.23999999999998E-3</v>
      </c>
      <c r="M40" s="21">
        <f>SUM(G13-M26)</f>
        <v>4.5599999999999426E-3</v>
      </c>
    </row>
    <row r="41" spans="1:13" x14ac:dyDescent="0.35">
      <c r="A41" s="114">
        <v>6</v>
      </c>
      <c r="B41" s="21">
        <f>SUM(B27-B14)</f>
        <v>1.3099999999999952E-2</v>
      </c>
      <c r="C41" s="21">
        <f>SUM(B14-C27)</f>
        <v>4.1999999999999191E-3</v>
      </c>
      <c r="D41" s="21">
        <f>SUM(D27-C14)</f>
        <v>1.4399999999999968E-2</v>
      </c>
      <c r="E41" s="21">
        <f>SUM(C14-E27)</f>
        <v>1.6599999999999948E-2</v>
      </c>
      <c r="F41" s="21">
        <f>SUM(F27-D14)</f>
        <v>3.200000000000161E-3</v>
      </c>
      <c r="G41" s="21">
        <f>SUM(D14-G27)</f>
        <v>7.4999999999999928E-3</v>
      </c>
      <c r="H41" s="21">
        <f>SUM(H27-E14)</f>
        <v>1.2080000000000091E-2</v>
      </c>
      <c r="I41" s="21">
        <f>SUM(E14-I27)</f>
        <v>1.7820000000000169E-2</v>
      </c>
      <c r="J41" s="21">
        <f>SUM(J27-F14)</f>
        <v>1.422000000000008E-2</v>
      </c>
      <c r="K41" s="21">
        <f>SUM(F14-K27)</f>
        <v>9.5799999999999635E-3</v>
      </c>
      <c r="L41" s="21">
        <f>SUM(L27-G14)</f>
        <v>7.3800000000000324E-3</v>
      </c>
      <c r="M41" s="21">
        <f>SUM(G14-M27)</f>
        <v>1.4220000000000031E-2</v>
      </c>
    </row>
    <row r="42" spans="1:13" x14ac:dyDescent="0.35">
      <c r="A42" s="114">
        <v>9</v>
      </c>
      <c r="B42" s="21">
        <f>SUM(B28-B15)</f>
        <v>1.1899999999999914E-2</v>
      </c>
      <c r="C42" s="21">
        <f>SUM(B15-C28)</f>
        <v>6.5000000000000578E-3</v>
      </c>
      <c r="D42" s="21">
        <f>SUM(D28-C15)</f>
        <v>2.9900000000000135E-2</v>
      </c>
      <c r="E42" s="21">
        <f>SUM(C15-E28)</f>
        <v>1.9200000000000009E-2</v>
      </c>
      <c r="F42" s="21">
        <f>SUM(F28-D15)</f>
        <v>1.0199999999999813E-2</v>
      </c>
      <c r="G42" s="21">
        <f>SUM(D15-G28)</f>
        <v>6.3000000000001458E-3</v>
      </c>
      <c r="H42" s="21">
        <f>SUM(H28-E15)</f>
        <v>1.5200000000000109E-2</v>
      </c>
      <c r="I42" s="21">
        <f>SUM(E15-I28)</f>
        <v>1.2800000000000138E-2</v>
      </c>
      <c r="J42" s="21">
        <f>SUM(J28-F15)</f>
        <v>2.0299999999999908E-2</v>
      </c>
      <c r="K42" s="21">
        <f>SUM(F15-K28)</f>
        <v>1.7399999999999936E-2</v>
      </c>
      <c r="L42" s="21">
        <f>SUM(L28-G15)</f>
        <v>1.6620000000000038E-2</v>
      </c>
      <c r="M42" s="21">
        <f>SUM(G15-M28)</f>
        <v>1.0580000000000075E-2</v>
      </c>
    </row>
    <row r="43" spans="1:13" x14ac:dyDescent="0.35">
      <c r="A43" s="114">
        <v>12</v>
      </c>
      <c r="B43" s="21">
        <f>SUM(B29-B16)</f>
        <v>1.3799999999999937E-2</v>
      </c>
      <c r="C43" s="21">
        <f>SUM(B16-C29)</f>
        <v>6.7000000000000254E-3</v>
      </c>
      <c r="D43" s="21">
        <f>SUM(D29-C16)</f>
        <v>1.3700000000000066E-2</v>
      </c>
      <c r="E43" s="21">
        <f>SUM(C16-E29)</f>
        <v>1.1800000000000012E-2</v>
      </c>
      <c r="F43" s="21">
        <f>SUM(F29-D16)</f>
        <v>1.8699999999999953E-2</v>
      </c>
      <c r="G43" s="21">
        <f>SUM(D16-G29)</f>
        <v>1.6099999999999989E-2</v>
      </c>
      <c r="H43" s="21">
        <f>SUM(H29-E16)</f>
        <v>6.1399999999999927E-3</v>
      </c>
      <c r="I43" s="21">
        <f>SUM(E16-I29)</f>
        <v>1.1559999999999834E-2</v>
      </c>
      <c r="J43" s="21">
        <f>SUM(J29-F16)</f>
        <v>1.0300000000000017E-2</v>
      </c>
      <c r="K43" s="21">
        <f>SUM(F16-K29)</f>
        <v>1.2500000000000136E-2</v>
      </c>
      <c r="L43" s="21">
        <f>SUM(L29-G16)</f>
        <v>1.2619999999999992E-2</v>
      </c>
      <c r="M43" s="21">
        <f>SUM(G16-M29)</f>
        <v>1.3179999999999831E-2</v>
      </c>
    </row>
    <row r="45" spans="1:13" x14ac:dyDescent="0.35">
      <c r="A45" s="174" t="s">
        <v>531</v>
      </c>
      <c r="B45" s="174"/>
      <c r="C45" s="174"/>
      <c r="D45" s="174"/>
      <c r="E45" s="174"/>
      <c r="F45" s="174"/>
      <c r="G45" s="174"/>
      <c r="H45" s="174"/>
      <c r="I45" s="174"/>
      <c r="J45" s="174"/>
      <c r="K45" s="174"/>
      <c r="L45" s="174"/>
      <c r="M45" s="174"/>
    </row>
    <row r="46" spans="1:13" x14ac:dyDescent="0.35">
      <c r="A46" s="174"/>
      <c r="B46" s="174"/>
      <c r="C46" s="174"/>
      <c r="D46" s="174"/>
      <c r="E46" s="174"/>
      <c r="F46" s="174"/>
      <c r="G46" s="174"/>
      <c r="H46" s="174"/>
      <c r="I46" s="174"/>
      <c r="J46" s="174"/>
      <c r="K46" s="174"/>
      <c r="L46" s="174"/>
      <c r="M46" s="174"/>
    </row>
    <row r="47" spans="1:13" x14ac:dyDescent="0.35">
      <c r="A47" s="131"/>
      <c r="B47" s="131"/>
      <c r="C47" s="131"/>
      <c r="D47" s="131"/>
      <c r="E47" s="131"/>
      <c r="F47" s="131"/>
      <c r="G47" s="131"/>
      <c r="H47" s="131"/>
      <c r="I47" s="131"/>
    </row>
    <row r="50" spans="1:5" ht="23.5" x14ac:dyDescent="0.55000000000000004">
      <c r="A50" s="127" t="s">
        <v>503</v>
      </c>
    </row>
    <row r="52" spans="1:5" ht="18.5" x14ac:dyDescent="0.45">
      <c r="A52" s="109" t="s">
        <v>504</v>
      </c>
    </row>
    <row r="53" spans="1:5" ht="21" x14ac:dyDescent="0.5">
      <c r="A53" s="115"/>
    </row>
    <row r="54" spans="1:5" ht="18.5" x14ac:dyDescent="0.45">
      <c r="B54" s="132" t="s">
        <v>485</v>
      </c>
      <c r="C54" s="132" t="s">
        <v>486</v>
      </c>
      <c r="D54" s="132" t="s">
        <v>496</v>
      </c>
    </row>
    <row r="55" spans="1:5" ht="18.5" x14ac:dyDescent="0.45">
      <c r="A55" s="133" t="s">
        <v>432</v>
      </c>
      <c r="B55" s="133" t="s">
        <v>10</v>
      </c>
      <c r="C55" s="133" t="s">
        <v>10</v>
      </c>
      <c r="D55" s="133" t="s">
        <v>10</v>
      </c>
    </row>
    <row r="56" spans="1:5" x14ac:dyDescent="0.35">
      <c r="A56" s="114">
        <v>3</v>
      </c>
      <c r="B56" s="21">
        <v>1.1200000000000099E-3</v>
      </c>
      <c r="C56" s="21">
        <v>4.3E-3</v>
      </c>
      <c r="D56" s="21">
        <v>3.0999999999999999E-3</v>
      </c>
    </row>
    <row r="57" spans="1:5" x14ac:dyDescent="0.35">
      <c r="A57" s="114">
        <v>6</v>
      </c>
      <c r="B57" s="21">
        <v>2.6199999999999778E-3</v>
      </c>
      <c r="C57" s="21">
        <v>-2.9999999999999997E-4</v>
      </c>
      <c r="D57" s="21">
        <v>2.8999999999999998E-3</v>
      </c>
    </row>
    <row r="58" spans="1:5" x14ac:dyDescent="0.35">
      <c r="A58" s="114">
        <v>9</v>
      </c>
      <c r="B58" s="21">
        <v>0</v>
      </c>
      <c r="C58" s="21">
        <v>4.7000000000000002E-3</v>
      </c>
      <c r="D58" s="21">
        <v>1.1000000000000001E-3</v>
      </c>
    </row>
    <row r="59" spans="1:5" x14ac:dyDescent="0.35">
      <c r="A59" s="114">
        <v>12</v>
      </c>
      <c r="B59" s="21">
        <v>1.5E-3</v>
      </c>
      <c r="C59" s="21">
        <v>3.5999999999999999E-3</v>
      </c>
      <c r="D59" s="21">
        <v>3.3E-3</v>
      </c>
    </row>
    <row r="61" spans="1:5" x14ac:dyDescent="0.35">
      <c r="A61" s="174" t="s">
        <v>529</v>
      </c>
      <c r="B61" s="174"/>
      <c r="C61" s="174"/>
      <c r="D61" s="174"/>
      <c r="E61" s="174"/>
    </row>
    <row r="62" spans="1:5" x14ac:dyDescent="0.35">
      <c r="A62" s="174"/>
      <c r="B62" s="174"/>
      <c r="C62" s="174"/>
      <c r="D62" s="174"/>
      <c r="E62" s="174"/>
    </row>
    <row r="63" spans="1:5" x14ac:dyDescent="0.35">
      <c r="A63" s="130"/>
      <c r="B63" s="130"/>
      <c r="C63" s="130"/>
      <c r="D63" s="130"/>
    </row>
    <row r="65" spans="1:9" ht="18.5" x14ac:dyDescent="0.45">
      <c r="A65" s="109" t="s">
        <v>517</v>
      </c>
    </row>
    <row r="66" spans="1:9" ht="21" x14ac:dyDescent="0.5">
      <c r="A66" s="115"/>
    </row>
    <row r="67" spans="1:9" ht="18.5" x14ac:dyDescent="0.45">
      <c r="B67" s="175" t="s">
        <v>485</v>
      </c>
      <c r="C67" s="175"/>
      <c r="D67" s="175" t="s">
        <v>486</v>
      </c>
      <c r="E67" s="175"/>
      <c r="F67" s="175" t="s">
        <v>487</v>
      </c>
      <c r="G67" s="175"/>
    </row>
    <row r="68" spans="1:9" ht="18.5" x14ac:dyDescent="0.45">
      <c r="A68" s="133" t="s">
        <v>432</v>
      </c>
      <c r="B68" s="133" t="s">
        <v>488</v>
      </c>
      <c r="C68" s="133" t="s">
        <v>434</v>
      </c>
      <c r="D68" s="133" t="s">
        <v>488</v>
      </c>
      <c r="E68" s="133" t="s">
        <v>434</v>
      </c>
      <c r="F68" s="133" t="s">
        <v>488</v>
      </c>
      <c r="G68" s="133" t="s">
        <v>434</v>
      </c>
    </row>
    <row r="69" spans="1:9" x14ac:dyDescent="0.35">
      <c r="A69" s="114">
        <v>3</v>
      </c>
      <c r="B69" s="21">
        <v>2.3999999999999998E-3</v>
      </c>
      <c r="C69" s="125">
        <v>2.0000000000000001E-4</v>
      </c>
      <c r="D69" s="74">
        <v>1.0800000000000143E-2</v>
      </c>
      <c r="E69" s="74">
        <v>1.5000000000000568E-3</v>
      </c>
      <c r="F69" s="21">
        <v>3.9000000000000146E-3</v>
      </c>
      <c r="G69" s="125">
        <v>2.0000000000000018E-3</v>
      </c>
    </row>
    <row r="70" spans="1:9" x14ac:dyDescent="0.35">
      <c r="A70" s="114">
        <v>6</v>
      </c>
      <c r="B70" s="21">
        <v>7.7999999999999996E-3</v>
      </c>
      <c r="C70" s="21">
        <v>-8.9999999999999998E-4</v>
      </c>
      <c r="D70" s="21">
        <v>6.8000000000001393E-3</v>
      </c>
      <c r="E70" s="74">
        <v>-9.400000000000075E-3</v>
      </c>
      <c r="F70" s="21">
        <v>1.7299999999999871E-2</v>
      </c>
      <c r="G70" s="21">
        <v>-1.3299999999999867E-2</v>
      </c>
    </row>
    <row r="71" spans="1:9" x14ac:dyDescent="0.35">
      <c r="A71" s="114">
        <v>9</v>
      </c>
      <c r="B71" s="21">
        <v>7.3000000000000001E-3</v>
      </c>
      <c r="C71" s="74">
        <v>-5.7000000000000002E-3</v>
      </c>
      <c r="D71" s="74">
        <v>7.0999999999998842E-3</v>
      </c>
      <c r="E71" s="74">
        <v>1.5999999999998238E-3</v>
      </c>
      <c r="F71" s="21">
        <v>9.1000000000000004E-3</v>
      </c>
      <c r="G71" s="21">
        <v>-5.7000000000000384E-3</v>
      </c>
    </row>
    <row r="72" spans="1:9" x14ac:dyDescent="0.35">
      <c r="A72" s="114">
        <v>12</v>
      </c>
      <c r="B72" s="21">
        <v>2.0999999999999999E-3</v>
      </c>
      <c r="C72" s="74">
        <v>1.1000000000000001E-3</v>
      </c>
      <c r="D72" s="21">
        <v>4.4999999999999485E-3</v>
      </c>
      <c r="E72" s="74">
        <v>2.8999999999999027E-3</v>
      </c>
      <c r="F72" s="21">
        <v>1.4499999999999957E-2</v>
      </c>
      <c r="G72" s="74">
        <v>-7.3000000000000842E-3</v>
      </c>
    </row>
    <row r="74" spans="1:9" x14ac:dyDescent="0.35">
      <c r="A74" s="174" t="s">
        <v>530</v>
      </c>
      <c r="B74" s="174"/>
      <c r="C74" s="174"/>
      <c r="D74" s="174"/>
      <c r="E74" s="174"/>
      <c r="F74" s="174"/>
      <c r="G74" s="174"/>
      <c r="H74" s="130"/>
      <c r="I74" s="130"/>
    </row>
    <row r="75" spans="1:9" x14ac:dyDescent="0.35">
      <c r="A75" s="174"/>
      <c r="B75" s="174"/>
      <c r="C75" s="174"/>
      <c r="D75" s="174"/>
      <c r="E75" s="174"/>
      <c r="F75" s="174"/>
      <c r="G75" s="174"/>
      <c r="H75" s="130"/>
      <c r="I75" s="130"/>
    </row>
    <row r="76" spans="1:9" x14ac:dyDescent="0.35">
      <c r="A76" s="174"/>
      <c r="B76" s="174"/>
      <c r="C76" s="174"/>
      <c r="D76" s="174"/>
      <c r="E76" s="174"/>
      <c r="F76" s="174"/>
      <c r="G76" s="174"/>
      <c r="H76" s="131"/>
      <c r="I76" s="131"/>
    </row>
    <row r="78" spans="1:9" ht="18.5" x14ac:dyDescent="0.45">
      <c r="A78" s="109" t="s">
        <v>507</v>
      </c>
    </row>
    <row r="79" spans="1:9" ht="21" x14ac:dyDescent="0.5">
      <c r="A79" s="115"/>
    </row>
    <row r="80" spans="1:9" ht="18.5" x14ac:dyDescent="0.45">
      <c r="B80" s="175" t="s">
        <v>485</v>
      </c>
      <c r="C80" s="175"/>
      <c r="D80" s="175" t="s">
        <v>486</v>
      </c>
      <c r="E80" s="175"/>
      <c r="F80" s="175" t="s">
        <v>487</v>
      </c>
      <c r="G80" s="175"/>
    </row>
    <row r="81" spans="1:7" ht="18.5" x14ac:dyDescent="0.45">
      <c r="B81" s="176" t="s">
        <v>10</v>
      </c>
      <c r="C81" s="177"/>
      <c r="D81" s="176" t="s">
        <v>10</v>
      </c>
      <c r="E81" s="177"/>
      <c r="F81" s="176" t="s">
        <v>10</v>
      </c>
      <c r="G81" s="177"/>
    </row>
    <row r="82" spans="1:7" ht="30" x14ac:dyDescent="0.45">
      <c r="A82" s="133" t="s">
        <v>432</v>
      </c>
      <c r="B82" s="134" t="s">
        <v>510</v>
      </c>
      <c r="C82" s="134" t="s">
        <v>511</v>
      </c>
      <c r="D82" s="134" t="s">
        <v>510</v>
      </c>
      <c r="E82" s="134" t="s">
        <v>511</v>
      </c>
      <c r="F82" s="134" t="s">
        <v>510</v>
      </c>
      <c r="G82" s="134" t="s">
        <v>511</v>
      </c>
    </row>
    <row r="83" spans="1:7" x14ac:dyDescent="0.35">
      <c r="A83" s="114">
        <v>3</v>
      </c>
      <c r="B83" s="21">
        <f>SUM(B69-B56)</f>
        <v>1.2799999999999899E-3</v>
      </c>
      <c r="C83" s="21">
        <f>SUM(B56-C69)</f>
        <v>9.2000000000000989E-4</v>
      </c>
      <c r="D83" s="21">
        <f>SUM(D69-C56)</f>
        <v>6.5000000000001428E-3</v>
      </c>
      <c r="E83" s="21">
        <f>SUM(C56-E69)</f>
        <v>2.7999999999999432E-3</v>
      </c>
      <c r="F83" s="21">
        <f>SUM(F69-D56)</f>
        <v>8.0000000000001468E-4</v>
      </c>
      <c r="G83" s="21">
        <f>SUM(D56-G69)</f>
        <v>1.0999999999999981E-3</v>
      </c>
    </row>
    <row r="84" spans="1:7" x14ac:dyDescent="0.35">
      <c r="A84" s="114">
        <v>6</v>
      </c>
      <c r="B84" s="21">
        <f>SUM(B70-B57)</f>
        <v>5.1800000000000214E-3</v>
      </c>
      <c r="C84" s="21">
        <f>SUM(B57-C70)</f>
        <v>3.519999999999978E-3</v>
      </c>
      <c r="D84" s="21">
        <f>SUM(D70-C57)</f>
        <v>7.1000000000001392E-3</v>
      </c>
      <c r="E84" s="21">
        <f>SUM(C57-E70)</f>
        <v>9.100000000000075E-3</v>
      </c>
      <c r="F84" s="21">
        <f>SUM(F70-D57)</f>
        <v>1.4399999999999871E-2</v>
      </c>
      <c r="G84" s="21">
        <f>SUM(D57-G70)</f>
        <v>1.6199999999999867E-2</v>
      </c>
    </row>
    <row r="85" spans="1:7" x14ac:dyDescent="0.35">
      <c r="A85" s="114">
        <v>9</v>
      </c>
      <c r="B85" s="21">
        <f>SUM(B71-B58)</f>
        <v>7.3000000000000001E-3</v>
      </c>
      <c r="C85" s="21">
        <f>SUM(B58-C71)</f>
        <v>5.7000000000000002E-3</v>
      </c>
      <c r="D85" s="21">
        <f>SUM(D71-C58)</f>
        <v>2.399999999999884E-3</v>
      </c>
      <c r="E85" s="21">
        <f>SUM(C58-E71)</f>
        <v>3.1000000000001764E-3</v>
      </c>
      <c r="F85" s="21">
        <f>SUM(F71-D58)</f>
        <v>8.0000000000000002E-3</v>
      </c>
      <c r="G85" s="21">
        <f>SUM(D58-G71)</f>
        <v>6.8000000000000387E-3</v>
      </c>
    </row>
    <row r="86" spans="1:7" x14ac:dyDescent="0.35">
      <c r="A86" s="114">
        <v>12</v>
      </c>
      <c r="B86" s="21">
        <f>SUM(B72-B59)</f>
        <v>5.9999999999999984E-4</v>
      </c>
      <c r="C86" s="21">
        <f>SUM(B59-C72)</f>
        <v>3.9999999999999996E-4</v>
      </c>
      <c r="D86" s="21">
        <f>SUM(D72-C59)</f>
        <v>8.9999999999994858E-4</v>
      </c>
      <c r="E86" s="21">
        <f>SUM(C59-E72)</f>
        <v>7.0000000000009725E-4</v>
      </c>
      <c r="F86" s="21">
        <f>SUM(F72-D59)</f>
        <v>1.1199999999999957E-2</v>
      </c>
      <c r="G86" s="21">
        <f>SUM(D59-G72)</f>
        <v>1.0600000000000085E-2</v>
      </c>
    </row>
    <row r="88" spans="1:7" x14ac:dyDescent="0.35">
      <c r="A88" s="174" t="s">
        <v>532</v>
      </c>
      <c r="B88" s="174"/>
      <c r="C88" s="174"/>
      <c r="D88" s="174"/>
      <c r="E88" s="174"/>
      <c r="F88" s="174"/>
      <c r="G88" s="174"/>
    </row>
    <row r="89" spans="1:7" x14ac:dyDescent="0.35">
      <c r="A89" s="174"/>
      <c r="B89" s="174"/>
      <c r="C89" s="174"/>
      <c r="D89" s="174"/>
      <c r="E89" s="174"/>
      <c r="F89" s="174"/>
      <c r="G89" s="174"/>
    </row>
    <row r="90" spans="1:7" x14ac:dyDescent="0.35">
      <c r="A90" s="174"/>
      <c r="B90" s="174"/>
      <c r="C90" s="174"/>
      <c r="D90" s="174"/>
      <c r="E90" s="174"/>
      <c r="F90" s="174"/>
      <c r="G90" s="174"/>
    </row>
  </sheetData>
  <mergeCells count="36">
    <mergeCell ref="A3:I4"/>
    <mergeCell ref="B11:C11"/>
    <mergeCell ref="D11:E11"/>
    <mergeCell ref="F11:G11"/>
    <mergeCell ref="B23:E23"/>
    <mergeCell ref="F23:I23"/>
    <mergeCell ref="J23:M23"/>
    <mergeCell ref="B24:C24"/>
    <mergeCell ref="D24:E24"/>
    <mergeCell ref="F24:G24"/>
    <mergeCell ref="H24:I24"/>
    <mergeCell ref="J24:K24"/>
    <mergeCell ref="L24:M24"/>
    <mergeCell ref="A74:G76"/>
    <mergeCell ref="A31:M32"/>
    <mergeCell ref="B37:E37"/>
    <mergeCell ref="F37:I37"/>
    <mergeCell ref="J37:M37"/>
    <mergeCell ref="B38:C38"/>
    <mergeCell ref="D38:E38"/>
    <mergeCell ref="F38:G38"/>
    <mergeCell ref="H38:I38"/>
    <mergeCell ref="J38:K38"/>
    <mergeCell ref="L38:M38"/>
    <mergeCell ref="A45:M46"/>
    <mergeCell ref="A61:E62"/>
    <mergeCell ref="B67:C67"/>
    <mergeCell ref="D67:E67"/>
    <mergeCell ref="F67:G67"/>
    <mergeCell ref="A88:G90"/>
    <mergeCell ref="B80:C80"/>
    <mergeCell ref="D80:E80"/>
    <mergeCell ref="F80:G80"/>
    <mergeCell ref="B81:C81"/>
    <mergeCell ref="D81:E81"/>
    <mergeCell ref="F81:G8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7073E-2A83-4B3E-A884-EDDF89B8D58F}">
  <dimension ref="A1:M75"/>
  <sheetViews>
    <sheetView tabSelected="1" topLeftCell="A58" zoomScale="70" zoomScaleNormal="70" workbookViewId="0">
      <selection activeCell="T17" sqref="T17"/>
    </sheetView>
  </sheetViews>
  <sheetFormatPr baseColWidth="10" defaultRowHeight="14.5" x14ac:dyDescent="0.35"/>
  <sheetData>
    <row r="1" spans="1:11" ht="31.5" customHeight="1" x14ac:dyDescent="0.65">
      <c r="A1" s="116" t="s">
        <v>525</v>
      </c>
    </row>
    <row r="2" spans="1:11" ht="13.5" customHeight="1" x14ac:dyDescent="0.65">
      <c r="A2" s="116"/>
    </row>
    <row r="3" spans="1:11" x14ac:dyDescent="0.35">
      <c r="A3" t="s">
        <v>537</v>
      </c>
    </row>
    <row r="4" spans="1:11" x14ac:dyDescent="0.35">
      <c r="A4" t="s">
        <v>527</v>
      </c>
    </row>
    <row r="6" spans="1:11" ht="21" x14ac:dyDescent="0.5">
      <c r="A6" s="140" t="s">
        <v>526</v>
      </c>
    </row>
    <row r="8" spans="1:11" ht="18.5" x14ac:dyDescent="0.45">
      <c r="A8" s="109" t="s">
        <v>500</v>
      </c>
      <c r="K8" s="120"/>
    </row>
    <row r="9" spans="1:11" ht="18.5" x14ac:dyDescent="0.45">
      <c r="A9" s="128"/>
    </row>
    <row r="10" spans="1:11" ht="18.5" x14ac:dyDescent="0.45">
      <c r="A10" s="109" t="s">
        <v>512</v>
      </c>
    </row>
    <row r="11" spans="1:11" ht="18.5" x14ac:dyDescent="0.45">
      <c r="A11" s="108" t="s">
        <v>432</v>
      </c>
      <c r="B11" s="108" t="s">
        <v>478</v>
      </c>
      <c r="C11" s="108" t="s">
        <v>479</v>
      </c>
      <c r="D11" s="108" t="s">
        <v>480</v>
      </c>
      <c r="E11" s="108" t="s">
        <v>481</v>
      </c>
      <c r="F11" s="108" t="s">
        <v>482</v>
      </c>
      <c r="G11" s="108" t="s">
        <v>483</v>
      </c>
    </row>
    <row r="12" spans="1:11" x14ac:dyDescent="0.35">
      <c r="A12" s="114">
        <v>3</v>
      </c>
      <c r="B12" s="117">
        <v>1.6120000000000044E-2</v>
      </c>
      <c r="C12" s="117">
        <v>2.18E-2</v>
      </c>
      <c r="D12" s="117">
        <v>4.6300000000000001E-2</v>
      </c>
      <c r="E12" s="117">
        <v>1.8599999999999998E-2</v>
      </c>
      <c r="F12" s="117">
        <v>2.2740000000000028E-2</v>
      </c>
      <c r="G12" s="117">
        <v>2.2359999999999981E-2</v>
      </c>
    </row>
    <row r="13" spans="1:11" x14ac:dyDescent="0.35">
      <c r="A13" s="114">
        <v>6</v>
      </c>
      <c r="B13" s="117">
        <v>2.1600000000000001E-2</v>
      </c>
      <c r="C13" s="117">
        <v>3.6299999999999999E-2</v>
      </c>
      <c r="D13" s="117">
        <v>5.3800000000000001E-2</v>
      </c>
      <c r="E13" s="117">
        <v>6.581999999999999E-2</v>
      </c>
      <c r="F13" s="117">
        <v>5.7779999999999984E-2</v>
      </c>
      <c r="G13" s="117">
        <v>6.0320000000000061E-2</v>
      </c>
    </row>
    <row r="14" spans="1:11" x14ac:dyDescent="0.35">
      <c r="A14" s="114">
        <v>9</v>
      </c>
      <c r="B14" s="117">
        <v>2.7199999999999998E-2</v>
      </c>
      <c r="C14" s="117">
        <v>3.5400000000000001E-2</v>
      </c>
      <c r="D14" s="117">
        <v>5.6000000000000001E-2</v>
      </c>
      <c r="E14" s="117">
        <v>4.6300000000000001E-2</v>
      </c>
      <c r="F14" s="117">
        <v>5.11E-2</v>
      </c>
      <c r="G14" s="117">
        <v>4.3180000000000038E-2</v>
      </c>
    </row>
    <row r="15" spans="1:11" x14ac:dyDescent="0.35">
      <c r="A15" s="114">
        <v>12</v>
      </c>
      <c r="B15" s="117">
        <v>2.7099999999999999E-2</v>
      </c>
      <c r="C15" s="117">
        <v>3.4099999999999998E-2</v>
      </c>
      <c r="D15" s="117">
        <v>5.2299999999999999E-2</v>
      </c>
      <c r="E15" s="117">
        <v>5.826000000000002E-2</v>
      </c>
      <c r="F15" s="117">
        <v>6.0399999999999968E-2</v>
      </c>
      <c r="G15" s="117">
        <v>6.608E-2</v>
      </c>
    </row>
    <row r="18" spans="1:13" ht="18.5" x14ac:dyDescent="0.45">
      <c r="A18" s="109" t="s">
        <v>513</v>
      </c>
    </row>
    <row r="19" spans="1:13" ht="18.5" x14ac:dyDescent="0.45">
      <c r="A19" s="126"/>
      <c r="B19" s="185" t="s">
        <v>485</v>
      </c>
      <c r="C19" s="185"/>
      <c r="D19" s="185"/>
      <c r="E19" s="186"/>
      <c r="F19" s="187" t="s">
        <v>486</v>
      </c>
      <c r="G19" s="185"/>
      <c r="H19" s="185"/>
      <c r="I19" s="186"/>
      <c r="J19" s="187" t="s">
        <v>487</v>
      </c>
      <c r="K19" s="185"/>
      <c r="L19" s="185"/>
      <c r="M19" s="186"/>
    </row>
    <row r="20" spans="1:13" ht="18.5" x14ac:dyDescent="0.45">
      <c r="A20" s="138"/>
      <c r="B20" s="188" t="s">
        <v>10</v>
      </c>
      <c r="C20" s="189"/>
      <c r="D20" s="190" t="s">
        <v>11</v>
      </c>
      <c r="E20" s="189"/>
      <c r="F20" s="190" t="s">
        <v>10</v>
      </c>
      <c r="G20" s="189"/>
      <c r="H20" s="190" t="s">
        <v>11</v>
      </c>
      <c r="I20" s="189"/>
      <c r="J20" s="190" t="s">
        <v>10</v>
      </c>
      <c r="K20" s="189"/>
      <c r="L20" s="190" t="s">
        <v>11</v>
      </c>
      <c r="M20" s="189"/>
    </row>
    <row r="21" spans="1:13" ht="30" x14ac:dyDescent="0.45">
      <c r="A21" s="139" t="s">
        <v>432</v>
      </c>
      <c r="B21" s="119" t="s">
        <v>510</v>
      </c>
      <c r="C21" s="119" t="s">
        <v>511</v>
      </c>
      <c r="D21" s="119" t="s">
        <v>510</v>
      </c>
      <c r="E21" s="119" t="s">
        <v>511</v>
      </c>
      <c r="F21" s="119" t="s">
        <v>510</v>
      </c>
      <c r="G21" s="119" t="s">
        <v>511</v>
      </c>
      <c r="H21" s="119" t="s">
        <v>510</v>
      </c>
      <c r="I21" s="119" t="s">
        <v>511</v>
      </c>
      <c r="J21" s="119" t="s">
        <v>510</v>
      </c>
      <c r="K21" s="119" t="s">
        <v>511</v>
      </c>
      <c r="L21" s="119" t="s">
        <v>510</v>
      </c>
      <c r="M21" s="119" t="s">
        <v>511</v>
      </c>
    </row>
    <row r="22" spans="1:13" x14ac:dyDescent="0.35">
      <c r="A22" s="114">
        <v>3</v>
      </c>
      <c r="B22" s="21">
        <v>1.1799999999999554E-3</v>
      </c>
      <c r="C22" s="21">
        <v>6.9999999999999999E-4</v>
      </c>
      <c r="D22" s="21">
        <v>8.8999999999999496E-3</v>
      </c>
      <c r="E22" s="21">
        <v>6.6000000000001197E-3</v>
      </c>
      <c r="F22" s="21">
        <v>1.0600000000000172E-2</v>
      </c>
      <c r="G22" s="21">
        <v>1.1099999999999881E-2</v>
      </c>
      <c r="H22" s="21">
        <v>9.7000000000002154E-3</v>
      </c>
      <c r="I22" s="21">
        <v>3.4999999999998851E-3</v>
      </c>
      <c r="J22" s="21">
        <v>1.8860000000000054E-2</v>
      </c>
      <c r="K22" s="21">
        <v>9.3400000000001711E-3</v>
      </c>
      <c r="L22" s="21">
        <v>8.23999999999998E-3</v>
      </c>
      <c r="M22" s="21">
        <v>4.5599999999999426E-3</v>
      </c>
    </row>
    <row r="23" spans="1:13" x14ac:dyDescent="0.35">
      <c r="A23" s="114">
        <v>6</v>
      </c>
      <c r="B23" s="21">
        <v>1.3099999999999952E-2</v>
      </c>
      <c r="C23" s="21">
        <v>4.1999999999999191E-3</v>
      </c>
      <c r="D23" s="21">
        <v>1.4399999999999968E-2</v>
      </c>
      <c r="E23" s="21">
        <v>1.6599999999999948E-2</v>
      </c>
      <c r="F23" s="21">
        <v>3.200000000000161E-3</v>
      </c>
      <c r="G23" s="21">
        <v>7.4999999999999928E-3</v>
      </c>
      <c r="H23" s="21">
        <v>1.2080000000000091E-2</v>
      </c>
      <c r="I23" s="21">
        <v>1.7820000000000169E-2</v>
      </c>
      <c r="J23" s="21">
        <v>1.422000000000008E-2</v>
      </c>
      <c r="K23" s="21">
        <v>9.5799999999999635E-3</v>
      </c>
      <c r="L23" s="21">
        <v>7.3800000000000324E-3</v>
      </c>
      <c r="M23" s="21">
        <v>1.4220000000000031E-2</v>
      </c>
    </row>
    <row r="24" spans="1:13" x14ac:dyDescent="0.35">
      <c r="A24" s="114">
        <v>9</v>
      </c>
      <c r="B24" s="21">
        <v>1.1899999999999914E-2</v>
      </c>
      <c r="C24" s="21">
        <v>6.5000000000000578E-3</v>
      </c>
      <c r="D24" s="21">
        <v>2.9900000000000135E-2</v>
      </c>
      <c r="E24" s="21">
        <v>1.9200000000000009E-2</v>
      </c>
      <c r="F24" s="21">
        <v>1.0199999999999813E-2</v>
      </c>
      <c r="G24" s="21">
        <v>6.3000000000001458E-3</v>
      </c>
      <c r="H24" s="21">
        <v>1.5200000000000109E-2</v>
      </c>
      <c r="I24" s="21">
        <v>1.2800000000000138E-2</v>
      </c>
      <c r="J24" s="21">
        <v>2.0299999999999908E-2</v>
      </c>
      <c r="K24" s="21">
        <v>1.7399999999999936E-2</v>
      </c>
      <c r="L24" s="21">
        <v>1.6620000000000038E-2</v>
      </c>
      <c r="M24" s="21">
        <v>1.0580000000000075E-2</v>
      </c>
    </row>
    <row r="25" spans="1:13" x14ac:dyDescent="0.35">
      <c r="A25" s="114">
        <v>12</v>
      </c>
      <c r="B25" s="21">
        <v>1.3799999999999937E-2</v>
      </c>
      <c r="C25" s="21">
        <v>6.7000000000000254E-3</v>
      </c>
      <c r="D25" s="21">
        <v>1.3700000000000066E-2</v>
      </c>
      <c r="E25" s="21">
        <v>1.1800000000000012E-2</v>
      </c>
      <c r="F25" s="21">
        <v>1.8699999999999953E-2</v>
      </c>
      <c r="G25" s="21">
        <v>1.6099999999999989E-2</v>
      </c>
      <c r="H25" s="21">
        <v>6.1399999999999927E-3</v>
      </c>
      <c r="I25" s="21">
        <v>1.1559999999999834E-2</v>
      </c>
      <c r="J25" s="21">
        <v>1.0300000000000017E-2</v>
      </c>
      <c r="K25" s="21">
        <v>1.2500000000000136E-2</v>
      </c>
      <c r="L25" s="21">
        <v>1.2619999999999992E-2</v>
      </c>
      <c r="M25" s="21">
        <v>1.3179999999999831E-2</v>
      </c>
    </row>
    <row r="58" spans="1:4" ht="21" x14ac:dyDescent="0.5">
      <c r="A58" s="140" t="s">
        <v>536</v>
      </c>
    </row>
    <row r="61" spans="1:4" ht="21" x14ac:dyDescent="0.5">
      <c r="A61" s="115" t="s">
        <v>534</v>
      </c>
    </row>
    <row r="62" spans="1:4" ht="18.5" x14ac:dyDescent="0.45">
      <c r="A62" s="108" t="s">
        <v>432</v>
      </c>
      <c r="B62" s="108" t="s">
        <v>478</v>
      </c>
      <c r="C62" s="108" t="s">
        <v>480</v>
      </c>
      <c r="D62" s="108" t="s">
        <v>482</v>
      </c>
    </row>
    <row r="63" spans="1:4" x14ac:dyDescent="0.35">
      <c r="A63" s="114">
        <v>3</v>
      </c>
      <c r="B63" s="21">
        <v>1.1200000000000099E-3</v>
      </c>
      <c r="C63" s="21">
        <v>4.3E-3</v>
      </c>
      <c r="D63" s="21">
        <v>3.0999999999999999E-3</v>
      </c>
    </row>
    <row r="64" spans="1:4" x14ac:dyDescent="0.35">
      <c r="A64" s="114">
        <v>6</v>
      </c>
      <c r="B64" s="21">
        <v>2.6199999999999778E-3</v>
      </c>
      <c r="C64" s="21">
        <v>-2.9999999999999997E-4</v>
      </c>
      <c r="D64" s="21">
        <v>2.8999999999999998E-3</v>
      </c>
    </row>
    <row r="65" spans="1:7" x14ac:dyDescent="0.35">
      <c r="A65" s="114">
        <v>9</v>
      </c>
      <c r="B65" s="21">
        <v>0</v>
      </c>
      <c r="C65" s="21">
        <v>4.7000000000000002E-3</v>
      </c>
      <c r="D65" s="21">
        <v>1.1000000000000001E-3</v>
      </c>
    </row>
    <row r="66" spans="1:7" x14ac:dyDescent="0.35">
      <c r="A66" s="114">
        <v>12</v>
      </c>
      <c r="B66" s="21">
        <v>1.5E-3</v>
      </c>
      <c r="C66" s="21">
        <v>3.5999999999999999E-3</v>
      </c>
      <c r="D66" s="21">
        <v>3.3E-3</v>
      </c>
    </row>
    <row r="69" spans="1:7" ht="21" x14ac:dyDescent="0.5">
      <c r="A69" s="115" t="s">
        <v>535</v>
      </c>
    </row>
    <row r="70" spans="1:7" ht="18.5" x14ac:dyDescent="0.45">
      <c r="A70" s="118" t="s">
        <v>432</v>
      </c>
      <c r="B70" s="183" t="s">
        <v>485</v>
      </c>
      <c r="C70" s="183"/>
      <c r="D70" s="183" t="s">
        <v>486</v>
      </c>
      <c r="E70" s="183"/>
      <c r="F70" s="183" t="s">
        <v>487</v>
      </c>
      <c r="G70" s="183"/>
    </row>
    <row r="71" spans="1:7" ht="29" x14ac:dyDescent="0.35">
      <c r="A71" s="74"/>
      <c r="B71" s="119" t="s">
        <v>510</v>
      </c>
      <c r="C71" s="119" t="s">
        <v>511</v>
      </c>
      <c r="D71" s="119" t="s">
        <v>510</v>
      </c>
      <c r="E71" s="119" t="s">
        <v>511</v>
      </c>
      <c r="F71" s="119" t="s">
        <v>510</v>
      </c>
      <c r="G71" s="119" t="s">
        <v>511</v>
      </c>
    </row>
    <row r="72" spans="1:7" x14ac:dyDescent="0.35">
      <c r="A72" s="114">
        <v>3</v>
      </c>
      <c r="B72" s="21">
        <v>1.2799999999999899E-3</v>
      </c>
      <c r="C72" s="21">
        <v>9.2000000000000989E-4</v>
      </c>
      <c r="D72" s="21">
        <v>6.5000000000001428E-3</v>
      </c>
      <c r="E72" s="21">
        <v>2.7999999999999432E-3</v>
      </c>
      <c r="F72" s="21">
        <v>8.0000000000001468E-4</v>
      </c>
      <c r="G72" s="21">
        <v>1.0999999999999981E-3</v>
      </c>
    </row>
    <row r="73" spans="1:7" x14ac:dyDescent="0.35">
      <c r="A73" s="114">
        <v>6</v>
      </c>
      <c r="B73" s="21">
        <v>5.1800000000000214E-3</v>
      </c>
      <c r="C73" s="21">
        <v>3.519999999999978E-3</v>
      </c>
      <c r="D73" s="21">
        <v>7.1000000000001392E-3</v>
      </c>
      <c r="E73" s="21">
        <v>9.100000000000075E-3</v>
      </c>
      <c r="F73" s="21">
        <v>1.4399999999999871E-2</v>
      </c>
      <c r="G73" s="21">
        <v>1.6199999999999867E-2</v>
      </c>
    </row>
    <row r="74" spans="1:7" x14ac:dyDescent="0.35">
      <c r="A74" s="114">
        <v>9</v>
      </c>
      <c r="B74" s="21">
        <v>7.3000000000000001E-3</v>
      </c>
      <c r="C74" s="21">
        <v>5.7000000000000002E-3</v>
      </c>
      <c r="D74" s="21">
        <v>2.399999999999884E-3</v>
      </c>
      <c r="E74" s="21">
        <v>3.1000000000001764E-3</v>
      </c>
      <c r="F74" s="21">
        <v>8.0000000000000002E-3</v>
      </c>
      <c r="G74" s="21">
        <v>6.8000000000000387E-3</v>
      </c>
    </row>
    <row r="75" spans="1:7" x14ac:dyDescent="0.35">
      <c r="A75" s="114">
        <v>12</v>
      </c>
      <c r="B75" s="21">
        <v>5.9999999999999984E-4</v>
      </c>
      <c r="C75" s="21">
        <v>3.9999999999999996E-4</v>
      </c>
      <c r="D75" s="21">
        <v>8.9999999999994858E-4</v>
      </c>
      <c r="E75" s="21">
        <v>7.0000000000009725E-4</v>
      </c>
      <c r="F75" s="21">
        <v>1.1199999999999957E-2</v>
      </c>
      <c r="G75" s="21">
        <v>1.0600000000000085E-2</v>
      </c>
    </row>
  </sheetData>
  <mergeCells count="12">
    <mergeCell ref="J19:M19"/>
    <mergeCell ref="B20:C20"/>
    <mergeCell ref="D20:E20"/>
    <mergeCell ref="F20:G20"/>
    <mergeCell ref="H20:I20"/>
    <mergeCell ref="J20:K20"/>
    <mergeCell ref="L20:M20"/>
    <mergeCell ref="B70:C70"/>
    <mergeCell ref="D70:E70"/>
    <mergeCell ref="F70:G70"/>
    <mergeCell ref="B19:E19"/>
    <mergeCell ref="F19:I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41013-9A5F-4E1B-8504-20233E8CFB80}">
  <dimension ref="A1:G25"/>
  <sheetViews>
    <sheetView zoomScale="60" zoomScaleNormal="60" workbookViewId="0"/>
  </sheetViews>
  <sheetFormatPr baseColWidth="10" defaultRowHeight="14.5" x14ac:dyDescent="0.35"/>
  <cols>
    <col min="2" max="2" width="13.1796875" customWidth="1"/>
    <col min="3" max="3" width="17.54296875" customWidth="1"/>
    <col min="4" max="4" width="22.08984375" customWidth="1"/>
    <col min="5" max="5" width="19.08984375" customWidth="1"/>
  </cols>
  <sheetData>
    <row r="1" spans="1:7" ht="28.5" x14ac:dyDescent="0.65">
      <c r="A1" s="116" t="s">
        <v>538</v>
      </c>
    </row>
    <row r="3" spans="1:7" ht="21" x14ac:dyDescent="0.5">
      <c r="A3" s="142" t="s">
        <v>544</v>
      </c>
    </row>
    <row r="4" spans="1:7" ht="21" x14ac:dyDescent="0.5">
      <c r="A4" s="142"/>
    </row>
    <row r="5" spans="1:7" x14ac:dyDescent="0.35">
      <c r="A5" s="191" t="s">
        <v>432</v>
      </c>
      <c r="B5" s="192" t="s">
        <v>103</v>
      </c>
      <c r="C5" s="191" t="s">
        <v>545</v>
      </c>
      <c r="D5" s="191" t="s">
        <v>546</v>
      </c>
      <c r="E5" s="191" t="s">
        <v>547</v>
      </c>
    </row>
    <row r="6" spans="1:7" ht="18.5" x14ac:dyDescent="0.45">
      <c r="A6" s="191"/>
      <c r="B6" s="192"/>
      <c r="C6" s="191"/>
      <c r="D6" s="191"/>
      <c r="E6" s="191"/>
      <c r="G6" s="128"/>
    </row>
    <row r="7" spans="1:7" x14ac:dyDescent="0.35">
      <c r="A7" s="114">
        <v>3</v>
      </c>
      <c r="B7" s="114" t="s">
        <v>543</v>
      </c>
      <c r="C7" s="144">
        <v>1.6120000000000044E-2</v>
      </c>
      <c r="D7" s="144">
        <v>1.1000000000000001E-3</v>
      </c>
      <c r="E7" s="145">
        <f t="shared" ref="E7:E18" si="0">SUM(D7/C7)</f>
        <v>6.8238213399503533E-2</v>
      </c>
      <c r="G7" s="143"/>
    </row>
    <row r="8" spans="1:7" x14ac:dyDescent="0.35">
      <c r="A8" s="114">
        <v>6</v>
      </c>
      <c r="B8" s="114" t="s">
        <v>543</v>
      </c>
      <c r="C8" s="144">
        <v>2.1640000000000013E-2</v>
      </c>
      <c r="D8" s="114">
        <v>2.5999999999999999E-3</v>
      </c>
      <c r="E8" s="145">
        <f t="shared" si="0"/>
        <v>0.12014787430683911</v>
      </c>
      <c r="G8" s="143"/>
    </row>
    <row r="9" spans="1:7" x14ac:dyDescent="0.35">
      <c r="A9" s="114">
        <v>9</v>
      </c>
      <c r="B9" s="114" t="s">
        <v>543</v>
      </c>
      <c r="C9" s="114">
        <v>2.7199999999999998E-2</v>
      </c>
      <c r="D9" s="144">
        <v>0</v>
      </c>
      <c r="E9" s="145">
        <f t="shared" si="0"/>
        <v>0</v>
      </c>
      <c r="G9" s="143"/>
    </row>
    <row r="10" spans="1:7" x14ac:dyDescent="0.35">
      <c r="A10" s="114">
        <v>12</v>
      </c>
      <c r="B10" s="114" t="s">
        <v>543</v>
      </c>
      <c r="C10" s="114">
        <v>2.7099999999999999E-2</v>
      </c>
      <c r="D10" s="114">
        <v>1.5E-3</v>
      </c>
      <c r="E10" s="145">
        <f t="shared" si="0"/>
        <v>5.5350553505535055E-2</v>
      </c>
      <c r="G10" s="143"/>
    </row>
    <row r="11" spans="1:7" x14ac:dyDescent="0.35">
      <c r="A11" s="114">
        <v>3</v>
      </c>
      <c r="B11" s="114" t="s">
        <v>486</v>
      </c>
      <c r="C11" s="114">
        <v>4.6300000000000001E-2</v>
      </c>
      <c r="D11" s="114">
        <v>4.3E-3</v>
      </c>
      <c r="E11" s="145">
        <f t="shared" si="0"/>
        <v>9.2872570194384441E-2</v>
      </c>
      <c r="G11" s="143"/>
    </row>
    <row r="12" spans="1:7" x14ac:dyDescent="0.35">
      <c r="A12" s="114">
        <v>6</v>
      </c>
      <c r="B12" s="114" t="s">
        <v>486</v>
      </c>
      <c r="C12" s="114">
        <v>5.3800000000000001E-2</v>
      </c>
      <c r="D12" s="114">
        <v>-2.9999999999999997E-4</v>
      </c>
      <c r="E12" s="145">
        <f t="shared" si="0"/>
        <v>-5.5762081784386614E-3</v>
      </c>
      <c r="G12" s="143"/>
    </row>
    <row r="13" spans="1:7" x14ac:dyDescent="0.35">
      <c r="A13" s="114">
        <v>9</v>
      </c>
      <c r="B13" s="114" t="s">
        <v>486</v>
      </c>
      <c r="C13" s="144">
        <v>5.6000000000000001E-2</v>
      </c>
      <c r="D13" s="114">
        <v>4.7000000000000002E-3</v>
      </c>
      <c r="E13" s="145">
        <f t="shared" si="0"/>
        <v>8.3928571428571436E-2</v>
      </c>
      <c r="G13" s="143"/>
    </row>
    <row r="14" spans="1:7" x14ac:dyDescent="0.35">
      <c r="A14" s="114">
        <v>12</v>
      </c>
      <c r="B14" s="114" t="s">
        <v>486</v>
      </c>
      <c r="C14" s="114">
        <v>5.2299999999999999E-2</v>
      </c>
      <c r="D14" s="114">
        <v>3.5999999999999999E-3</v>
      </c>
      <c r="E14" s="145">
        <f t="shared" si="0"/>
        <v>6.8833652007648183E-2</v>
      </c>
      <c r="G14" s="143"/>
    </row>
    <row r="15" spans="1:7" x14ac:dyDescent="0.35">
      <c r="A15" s="114">
        <v>3</v>
      </c>
      <c r="B15" s="114" t="s">
        <v>487</v>
      </c>
      <c r="C15" s="114">
        <v>2.2700000000000001E-2</v>
      </c>
      <c r="D15" s="114">
        <v>3.0999999999999999E-3</v>
      </c>
      <c r="E15" s="145">
        <f t="shared" si="0"/>
        <v>0.13656387665198236</v>
      </c>
      <c r="G15" s="143"/>
    </row>
    <row r="16" spans="1:7" x14ac:dyDescent="0.35">
      <c r="A16" s="114">
        <v>6</v>
      </c>
      <c r="B16" s="114" t="s">
        <v>487</v>
      </c>
      <c r="C16" s="114">
        <v>5.7799999999999997E-2</v>
      </c>
      <c r="D16" s="114">
        <v>2.8999999999999998E-3</v>
      </c>
      <c r="E16" s="145">
        <f t="shared" si="0"/>
        <v>5.0173010380622836E-2</v>
      </c>
      <c r="G16" s="143"/>
    </row>
    <row r="17" spans="1:7" x14ac:dyDescent="0.35">
      <c r="A17" s="114">
        <v>9</v>
      </c>
      <c r="B17" s="114" t="s">
        <v>487</v>
      </c>
      <c r="C17" s="114">
        <v>5.11E-2</v>
      </c>
      <c r="D17" s="114">
        <v>1.1000000000000001E-3</v>
      </c>
      <c r="E17" s="145">
        <f t="shared" si="0"/>
        <v>2.1526418786692762E-2</v>
      </c>
      <c r="G17" s="143"/>
    </row>
    <row r="18" spans="1:7" x14ac:dyDescent="0.35">
      <c r="A18" s="114">
        <v>12</v>
      </c>
      <c r="B18" s="114" t="s">
        <v>487</v>
      </c>
      <c r="C18" s="114">
        <v>6.0400000000000002E-2</v>
      </c>
      <c r="D18" s="114">
        <v>3.3E-3</v>
      </c>
      <c r="E18" s="145">
        <f t="shared" si="0"/>
        <v>5.4635761589403968E-2</v>
      </c>
      <c r="G18" s="143"/>
    </row>
    <row r="20" spans="1:7" ht="14.5" customHeight="1" x14ac:dyDescent="0.35"/>
    <row r="21" spans="1:7" ht="16.5" customHeight="1" x14ac:dyDescent="0.45">
      <c r="A21" s="113" t="s">
        <v>432</v>
      </c>
      <c r="B21" s="113" t="s">
        <v>549</v>
      </c>
      <c r="C21" s="113" t="s">
        <v>550</v>
      </c>
      <c r="D21" s="113" t="s">
        <v>487</v>
      </c>
    </row>
    <row r="22" spans="1:7" x14ac:dyDescent="0.35">
      <c r="A22" s="114">
        <v>3</v>
      </c>
      <c r="B22" s="146">
        <v>6.8238213399503533E-2</v>
      </c>
      <c r="C22" s="146">
        <v>9.2872570194384441E-2</v>
      </c>
      <c r="D22" s="146">
        <v>0.13656387665198236</v>
      </c>
    </row>
    <row r="23" spans="1:7" x14ac:dyDescent="0.35">
      <c r="A23" s="114">
        <v>6</v>
      </c>
      <c r="B23" s="146">
        <v>0.12014787430683911</v>
      </c>
      <c r="C23" s="146">
        <v>-5.5762081784386614E-3</v>
      </c>
      <c r="D23" s="146">
        <v>5.0173010380622836E-2</v>
      </c>
    </row>
    <row r="24" spans="1:7" x14ac:dyDescent="0.35">
      <c r="A24" s="114">
        <v>9</v>
      </c>
      <c r="B24" s="146">
        <v>0</v>
      </c>
      <c r="C24" s="146">
        <v>8.3928571428571436E-2</v>
      </c>
      <c r="D24" s="146">
        <v>2.1526418786692762E-2</v>
      </c>
    </row>
    <row r="25" spans="1:7" x14ac:dyDescent="0.35">
      <c r="A25" s="114">
        <v>12</v>
      </c>
      <c r="B25" s="146">
        <v>5.5350553505535055E-2</v>
      </c>
      <c r="C25" s="146">
        <v>6.8833652007648183E-2</v>
      </c>
      <c r="D25" s="146">
        <v>5.4635761589403968E-2</v>
      </c>
    </row>
  </sheetData>
  <mergeCells count="5">
    <mergeCell ref="A5:A6"/>
    <mergeCell ref="B5:B6"/>
    <mergeCell ref="C5:C6"/>
    <mergeCell ref="D5:D6"/>
    <mergeCell ref="E5:E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2CC98-CC58-4E42-A9A2-FEE65C773ED2}">
  <dimension ref="A1:D59"/>
  <sheetViews>
    <sheetView zoomScale="90" zoomScaleNormal="90" workbookViewId="0">
      <selection activeCell="Q21" sqref="Q21"/>
    </sheetView>
  </sheetViews>
  <sheetFormatPr baseColWidth="10" defaultRowHeight="14.5" x14ac:dyDescent="0.35"/>
  <sheetData>
    <row r="1" spans="1:4" ht="28.5" x14ac:dyDescent="0.65">
      <c r="A1" s="116" t="s">
        <v>553</v>
      </c>
    </row>
    <row r="2" spans="1:4" ht="21" x14ac:dyDescent="0.5">
      <c r="A2" s="142"/>
    </row>
    <row r="3" spans="1:4" x14ac:dyDescent="0.35">
      <c r="A3" s="120"/>
      <c r="B3" s="120"/>
    </row>
    <row r="4" spans="1:4" x14ac:dyDescent="0.35">
      <c r="A4" s="148"/>
      <c r="B4" s="120"/>
    </row>
    <row r="5" spans="1:4" x14ac:dyDescent="0.35">
      <c r="A5" s="148"/>
      <c r="B5" s="120"/>
    </row>
    <row r="7" spans="1:4" ht="21" x14ac:dyDescent="0.5">
      <c r="A7" s="142" t="s">
        <v>369</v>
      </c>
    </row>
    <row r="8" spans="1:4" ht="18.5" x14ac:dyDescent="0.45">
      <c r="A8" s="135" t="s">
        <v>432</v>
      </c>
      <c r="B8" s="135" t="s">
        <v>549</v>
      </c>
      <c r="C8" s="135" t="s">
        <v>550</v>
      </c>
      <c r="D8" s="135" t="s">
        <v>487</v>
      </c>
    </row>
    <row r="9" spans="1:4" x14ac:dyDescent="0.35">
      <c r="A9" s="114">
        <v>3</v>
      </c>
      <c r="B9" s="146">
        <v>0.16326530612244897</v>
      </c>
      <c r="C9" s="146">
        <v>0.22391857506361323</v>
      </c>
      <c r="D9" s="146">
        <v>0.22042139384116693</v>
      </c>
    </row>
    <row r="10" spans="1:4" x14ac:dyDescent="0.35">
      <c r="A10" s="114">
        <v>6</v>
      </c>
      <c r="B10" s="146">
        <v>0.15306122448979592</v>
      </c>
      <c r="C10" s="146">
        <v>0.1386138613861386</v>
      </c>
      <c r="D10" s="146">
        <v>-1.5778748180494906</v>
      </c>
    </row>
    <row r="11" spans="1:4" x14ac:dyDescent="0.35">
      <c r="A11" s="114">
        <v>9</v>
      </c>
      <c r="B11" s="146">
        <v>0.11666666666666667</v>
      </c>
      <c r="C11" s="146">
        <v>8.399209486166008E-2</v>
      </c>
      <c r="D11" s="146" t="e">
        <v>#N/A</v>
      </c>
    </row>
    <row r="12" spans="1:4" x14ac:dyDescent="0.35">
      <c r="A12" s="114">
        <v>12</v>
      </c>
      <c r="B12" s="146">
        <v>0.15833333333333333</v>
      </c>
      <c r="C12" s="146">
        <v>0.15650741350906097</v>
      </c>
      <c r="D12" s="147" t="s">
        <v>552</v>
      </c>
    </row>
    <row r="30" spans="1:4" ht="21" x14ac:dyDescent="0.5">
      <c r="A30" s="142" t="s">
        <v>400</v>
      </c>
    </row>
    <row r="31" spans="1:4" ht="18.5" x14ac:dyDescent="0.45">
      <c r="A31" s="135" t="s">
        <v>432</v>
      </c>
      <c r="B31" s="135" t="s">
        <v>549</v>
      </c>
      <c r="C31" s="135" t="s">
        <v>550</v>
      </c>
      <c r="D31" s="135" t="s">
        <v>487</v>
      </c>
    </row>
    <row r="32" spans="1:4" x14ac:dyDescent="0.35">
      <c r="A32" s="114">
        <v>3</v>
      </c>
      <c r="B32" s="146">
        <v>0.30705394190871371</v>
      </c>
      <c r="C32" s="146">
        <v>0.24573378839590443</v>
      </c>
      <c r="D32" s="146">
        <v>0.37368421052631584</v>
      </c>
    </row>
    <row r="33" spans="1:4" x14ac:dyDescent="0.35">
      <c r="A33" s="114">
        <v>6</v>
      </c>
      <c r="B33" s="146">
        <v>0.29599999999999999</v>
      </c>
      <c r="C33" s="146">
        <v>0.28343949044585992</v>
      </c>
      <c r="D33" s="146">
        <v>0.22843822843822842</v>
      </c>
    </row>
    <row r="34" spans="1:4" x14ac:dyDescent="0.35">
      <c r="A34" s="114">
        <v>9</v>
      </c>
      <c r="B34" s="146">
        <v>0.38636363636363641</v>
      </c>
      <c r="C34" s="146">
        <v>0.15873015873015872</v>
      </c>
      <c r="D34" s="146">
        <v>0.3707865168539326</v>
      </c>
    </row>
    <row r="35" spans="1:4" x14ac:dyDescent="0.35">
      <c r="A35" s="114">
        <v>12</v>
      </c>
      <c r="B35" s="146">
        <v>0.15945945945945947</v>
      </c>
      <c r="C35" s="146">
        <v>0.23255813953488369</v>
      </c>
      <c r="D35" s="146">
        <v>0.25098814229249011</v>
      </c>
    </row>
    <row r="38" spans="1:4" ht="21" x14ac:dyDescent="0.5">
      <c r="A38" s="142"/>
    </row>
    <row r="54" spans="1:4" ht="21" x14ac:dyDescent="0.5">
      <c r="A54" s="142" t="s">
        <v>401</v>
      </c>
    </row>
    <row r="55" spans="1:4" ht="18.5" x14ac:dyDescent="0.45">
      <c r="A55" s="113" t="s">
        <v>432</v>
      </c>
      <c r="B55" s="113" t="s">
        <v>549</v>
      </c>
      <c r="C55" s="113" t="s">
        <v>550</v>
      </c>
      <c r="D55" s="113" t="s">
        <v>487</v>
      </c>
    </row>
    <row r="56" spans="1:4" x14ac:dyDescent="0.35">
      <c r="A56" s="114">
        <v>3</v>
      </c>
      <c r="B56" s="146">
        <v>6.8238213399503533E-2</v>
      </c>
      <c r="C56" s="146">
        <v>9.2872570194384441E-2</v>
      </c>
      <c r="D56" s="146">
        <v>0.13656387665198236</v>
      </c>
    </row>
    <row r="57" spans="1:4" x14ac:dyDescent="0.35">
      <c r="A57" s="114">
        <v>6</v>
      </c>
      <c r="B57" s="146">
        <v>0.12014787430683911</v>
      </c>
      <c r="C57" s="146">
        <v>-5.5762081784386614E-3</v>
      </c>
      <c r="D57" s="146">
        <v>5.0173010380622836E-2</v>
      </c>
    </row>
    <row r="58" spans="1:4" x14ac:dyDescent="0.35">
      <c r="A58" s="114">
        <v>9</v>
      </c>
      <c r="B58" s="146">
        <v>0</v>
      </c>
      <c r="C58" s="146">
        <v>8.3928571428571436E-2</v>
      </c>
      <c r="D58" s="146">
        <v>2.1526418786692762E-2</v>
      </c>
    </row>
    <row r="59" spans="1:4" x14ac:dyDescent="0.35">
      <c r="A59" s="114">
        <v>12</v>
      </c>
      <c r="B59" s="146">
        <v>5.5350553505535055E-2</v>
      </c>
      <c r="C59" s="146">
        <v>6.8833652007648183E-2</v>
      </c>
      <c r="D59" s="146">
        <v>5.4635761589403968E-2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bd2147e-7988-4fcf-ad0c-52bc379c8a34" xsi:nil="true"/>
    <lcf76f155ced4ddcb4097134ff3c332f xmlns="35701795-6006-4863-8082-d51d28cabaa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8A91340AA816B44D841116FDC3E86C24" ma:contentTypeVersion="12" ma:contentTypeDescription="Opprett et nytt dokument." ma:contentTypeScope="" ma:versionID="899300921ba559a9e06644923e6a6894">
  <xsd:schema xmlns:xsd="http://www.w3.org/2001/XMLSchema" xmlns:xs="http://www.w3.org/2001/XMLSchema" xmlns:p="http://schemas.microsoft.com/office/2006/metadata/properties" xmlns:ns2="35701795-6006-4863-8082-d51d28cabaae" xmlns:ns3="4bd2147e-7988-4fcf-ad0c-52bc379c8a34" targetNamespace="http://schemas.microsoft.com/office/2006/metadata/properties" ma:root="true" ma:fieldsID="24a2b468d1e527283b65a6a379b7c8b3" ns2:_="" ns3:_="">
    <xsd:import namespace="35701795-6006-4863-8082-d51d28cabaae"/>
    <xsd:import namespace="4bd2147e-7988-4fcf-ad0c-52bc379c8a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701795-6006-4863-8082-d51d28caba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ildemerkelapper" ma:readOnly="false" ma:fieldId="{5cf76f15-5ced-4ddc-b409-7134ff3c332f}" ma:taxonomyMulti="true" ma:sspId="7d912fff-f0be-4533-ba2b-d4ff65658f5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d2147e-7988-4fcf-ad0c-52bc379c8a3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5f7bd40-5646-4e53-ad70-e237f2fbaa3a}" ma:internalName="TaxCatchAll" ma:showField="CatchAllData" ma:web="4bd2147e-7988-4fcf-ad0c-52bc379c8a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10FF00-364E-477D-8503-D17225C984F9}">
  <ds:schemaRefs>
    <ds:schemaRef ds:uri="http://purl.org/dc/dcmitype/"/>
    <ds:schemaRef ds:uri="http://schemas.microsoft.com/office/2006/documentManagement/types"/>
    <ds:schemaRef ds:uri="http://schemas.openxmlformats.org/package/2006/metadata/core-properties"/>
    <ds:schemaRef ds:uri="http://purl.org/dc/elements/1.1/"/>
    <ds:schemaRef ds:uri="35701795-6006-4863-8082-d51d28cabaae"/>
    <ds:schemaRef ds:uri="http://www.w3.org/XML/1998/namespace"/>
    <ds:schemaRef ds:uri="4bd2147e-7988-4fcf-ad0c-52bc379c8a34"/>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F2CDBDDD-6BF2-46BE-BC5B-9768E4D663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701795-6006-4863-8082-d51d28cabaae"/>
    <ds:schemaRef ds:uri="4bd2147e-7988-4fcf-ad0c-52bc379c8a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9E3857-89E8-451E-997D-C06FECF2ED2E}">
  <ds:schemaRefs>
    <ds:schemaRef ds:uri="http://schemas.microsoft.com/sharepoint/v3/contenttype/forms"/>
  </ds:schemaRefs>
</ds:datastoreItem>
</file>

<file path=docMetadata/LabelInfo.xml><?xml version="1.0" encoding="utf-8"?>
<clbl:labelList xmlns:clbl="http://schemas.microsoft.com/office/2020/mipLabelMetadata">
  <clbl:label id="{bc758dd0-ab53-4372-9a7c-e98a9620862c}" enabled="0" method="" siteId="{bc758dd0-ab53-4372-9a7c-e98a9620862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16</vt:i4>
      </vt:variant>
    </vt:vector>
  </HeadingPairs>
  <TitlesOfParts>
    <vt:vector size="16" baseType="lpstr">
      <vt:lpstr>PLA - Vektregistrering</vt:lpstr>
      <vt:lpstr>PLA - Resultatberegninger</vt:lpstr>
      <vt:lpstr>PLA - Mellomregning</vt:lpstr>
      <vt:lpstr>PLA-Diagram</vt:lpstr>
      <vt:lpstr>PLA - Prosent</vt:lpstr>
      <vt:lpstr>PETG - Vektregistrering</vt:lpstr>
      <vt:lpstr>PETG - Resultatberegninger</vt:lpstr>
      <vt:lpstr>PETG - Mellomregning</vt:lpstr>
      <vt:lpstr>PETG - Diagrammer</vt:lpstr>
      <vt:lpstr>PETG - Prosent</vt:lpstr>
      <vt:lpstr>ASA - Vektregistrering</vt:lpstr>
      <vt:lpstr>ASA - Resultatberegninger</vt:lpstr>
      <vt:lpstr>ASA - Mellomregning</vt:lpstr>
      <vt:lpstr>ASA - Diagrammer</vt:lpstr>
      <vt:lpstr>ASA - Prosent</vt:lpstr>
      <vt:lpstr>Prosent - samlet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Tor Henrik Lehne</dc:creator>
  <cp:keywords/>
  <dc:description/>
  <cp:lastModifiedBy>Veronika Hesle</cp:lastModifiedBy>
  <cp:revision/>
  <dcterms:created xsi:type="dcterms:W3CDTF">2026-01-20T14:37:46Z</dcterms:created>
  <dcterms:modified xsi:type="dcterms:W3CDTF">2026-05-19T13:26:43Z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0x0101008A91340AA816B44D841116FDC3E86C24</vt:lpwstr>
  </property>
  <property fmtid="{D5CDD505-2E9C-101B-9397-08002B2CF9AE}" pid="3" name="MediaServiceImageTags">
    <vt:lpwstr/>
  </property>
</Properties>
</file>